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ject Instructions" sheetId="1" state="visible" r:id="rId1"/>
    <sheet xmlns:r="http://schemas.openxmlformats.org/officeDocument/2006/relationships" name="Students Grade" sheetId="2" state="visible" r:id="rId2"/>
    <sheet xmlns:r="http://schemas.openxmlformats.org/officeDocument/2006/relationships" name="Sales Data" sheetId="3" state="visible" r:id="rId3"/>
    <sheet xmlns:r="http://schemas.openxmlformats.org/officeDocument/2006/relationships" name="Employee Data" sheetId="4" state="visible" r:id="rId4"/>
    <sheet xmlns:r="http://schemas.openxmlformats.org/officeDocument/2006/relationships" name="Analysis &amp; Solutions" sheetId="5" state="visible" r:id="rId5"/>
    <sheet xmlns:r="http://schemas.openxmlformats.org/officeDocument/2006/relationships" name="Requirement Checklist" sheetId="6" state="visible" r:id="rId6"/>
  </sheets>
  <definedNames>
    <definedName name="_xlnm._FilterDatabase" localSheetId="1" hidden="1">'Students Grade'!$A$1:$O$21</definedName>
    <definedName name="_xlnm._FilterDatabase" localSheetId="2" hidden="1">'Sales Data'!$A$1:$N$21</definedName>
    <definedName name="_xlnm._FilterDatabase" localSheetId="3" hidden="1">'Employee Data'!$A$1:$I$21</definedName>
  </definedNames>
  <calcPr calcId="124519" calcMode="auto" fullCalcOnLoad="1" forceFullCalc="1"/>
</workbook>
</file>

<file path=xl/styles.xml><?xml version="1.0" encoding="utf-8"?>
<styleSheet xmlns="http://schemas.openxmlformats.org/spreadsheetml/2006/main">
  <numFmts count="7">
    <numFmt numFmtId="164" formatCode="yyyy-mm-dd hh:mm:ss"/>
    <numFmt numFmtId="165" formatCode="₹#,##0.00"/>
    <numFmt numFmtId="166" formatCode="₹#,##0"/>
    <numFmt numFmtId="167" formatCode="mmmm yyyy"/>
    <numFmt numFmtId="168" formatCode="mmm yyyy"/>
    <numFmt numFmtId="169" formatCode="dd-mmm-yyyy"/>
    <numFmt numFmtId="170" formatCode="#,##0&quot; days&quot;"/>
  </numFmts>
  <fonts count="15">
    <font>
      <name val="Calibri"/>
      <color theme="1"/>
      <sz val="11"/>
      <scheme val="minor"/>
    </font>
    <font>
      <name val="Calibri"/>
      <b val="1"/>
      <color rgb="FF000000"/>
      <sz val="11"/>
    </font>
    <font>
      <name val="Calibri"/>
      <b val="1"/>
      <color theme="1"/>
      <scheme val="minor"/>
    </font>
    <font>
      <name val="Calibri"/>
      <color theme="1"/>
      <scheme val="minor"/>
    </font>
    <font>
      <name val="Calibri"/>
      <color rgb="FF000000"/>
      <sz val="11"/>
    </font>
    <font>
      <b val="1"/>
      <color rgb="00FFFFFF"/>
    </font>
    <font>
      <b val="1"/>
      <color rgb="00FFFFFF"/>
      <sz val="18"/>
    </font>
    <font>
      <i val="1"/>
      <color rgb="00666666"/>
    </font>
    <font>
      <b val="1"/>
      <color rgb="00FFFFFF"/>
      <sz val="12"/>
    </font>
    <font>
      <b val="1"/>
    </font>
    <font>
      <name val="Calibri"/>
      <b val="1"/>
      <color rgb="000000FF"/>
      <sz val="11"/>
    </font>
    <font>
      <name val="Calibri"/>
      <color rgb="000000FF"/>
      <sz val="11"/>
    </font>
    <font>
      <name val="Calibri"/>
      <i val="1"/>
      <sz val="9"/>
    </font>
    <font>
      <name val="Calibri"/>
      <sz val="11"/>
    </font>
    <font>
      <name val="Calibri"/>
      <b val="1"/>
      <color rgb="00548235"/>
      <sz val="11"/>
    </font>
  </fonts>
  <fills count="7">
    <fill>
      <patternFill/>
    </fill>
    <fill>
      <patternFill patternType="lightGray"/>
    </fill>
    <fill>
      <patternFill patternType="solid">
        <fgColor rgb="FFFFF2CC"/>
        <bgColor rgb="FFFFF2CC"/>
      </patternFill>
    </fill>
    <fill>
      <patternFill patternType="solid">
        <fgColor rgb="001F4E78"/>
      </patternFill>
    </fill>
    <fill>
      <patternFill patternType="solid">
        <fgColor rgb="005B9BD5"/>
      </patternFill>
    </fill>
    <fill>
      <patternFill patternType="solid">
        <fgColor rgb="0070AD47"/>
      </patternFill>
    </fill>
    <fill>
      <patternFill patternType="solid">
        <fgColor rgb="00E2F0D9"/>
      </patternFill>
    </fill>
  </fills>
  <borders count="3">
    <border/>
    <border>
      <left style="thin">
        <color rgb="FF000000"/>
      </left>
      <right style="thin">
        <color rgb="FF000000"/>
      </right>
      <top style="thin">
        <color rgb="FF000000"/>
      </top>
      <bottom style="thin">
        <color rgb="FF000000"/>
      </bottom>
    </border>
    <border>
      <left style="thin">
        <color rgb="00D9E1F2"/>
      </left>
      <right style="thin">
        <color rgb="00D9E1F2"/>
      </right>
      <top style="thin">
        <color rgb="00D9E1F2"/>
      </top>
      <bottom style="thin">
        <color rgb="00D9E1F2"/>
      </bottom>
    </border>
  </borders>
  <cellStyleXfs count="1">
    <xf numFmtId="0" fontId="0" fillId="0" borderId="0"/>
  </cellStyleXfs>
  <cellXfs count="59">
    <xf numFmtId="0" fontId="0" fillId="0" borderId="0" applyAlignment="1" pivotButton="0" quotePrefix="0" xfId="0">
      <alignment vertical="bottom"/>
    </xf>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0" borderId="1" applyAlignment="1" pivotButton="0" quotePrefix="0" xfId="0">
      <alignment vertical="center"/>
    </xf>
    <xf numFmtId="0" fontId="3" fillId="0" borderId="0" applyAlignment="1" pivotButton="0" quotePrefix="0" xfId="0">
      <alignment vertical="center"/>
    </xf>
    <xf numFmtId="0" fontId="2" fillId="0" borderId="1"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xf>
    <xf numFmtId="0" fontId="0" fillId="0" borderId="0" pivotButton="0" quotePrefix="0" xfId="0"/>
    <xf numFmtId="0" fontId="6" fillId="3" borderId="1" applyAlignment="1" pivotButton="0" quotePrefix="0" xfId="0">
      <alignment horizontal="center" vertical="center"/>
    </xf>
    <xf numFmtId="0" fontId="4" fillId="0" borderId="1" applyAlignment="1" pivotButton="0" quotePrefix="0" xfId="0">
      <alignment vertical="top" wrapText="1"/>
    </xf>
    <xf numFmtId="0" fontId="5" fillId="4" borderId="1" applyAlignment="1" pivotButton="0" quotePrefix="0" xfId="0">
      <alignment horizontal="center" vertical="center"/>
    </xf>
    <xf numFmtId="0" fontId="5" fillId="4" borderId="1" applyAlignment="1" pivotButton="0" quotePrefix="0" xfId="0">
      <alignment vertical="center"/>
    </xf>
    <xf numFmtId="0" fontId="5" fillId="3" borderId="2" applyAlignment="1" pivotButton="0" quotePrefix="0" xfId="0">
      <alignment horizontal="center" vertical="center" wrapText="1"/>
    </xf>
    <xf numFmtId="0" fontId="4" fillId="0" borderId="2" applyAlignment="1" pivotButton="0" quotePrefix="0" xfId="0">
      <alignment vertical="center" wrapText="1"/>
    </xf>
    <xf numFmtId="164" fontId="4" fillId="0" borderId="2" applyAlignment="1" pivotButton="0" quotePrefix="0" xfId="0">
      <alignment vertical="center" wrapText="1"/>
    </xf>
    <xf numFmtId="0" fontId="3" fillId="0" borderId="2" applyAlignment="1" pivotButton="0" quotePrefix="0" xfId="0">
      <alignment vertical="center" wrapText="1"/>
    </xf>
    <xf numFmtId="2" fontId="3" fillId="0" borderId="2" applyAlignment="1" pivotButton="0" quotePrefix="0" xfId="0">
      <alignment vertical="center" wrapText="1"/>
    </xf>
    <xf numFmtId="165" fontId="4" fillId="0" borderId="2" applyAlignment="1" pivotButton="0" quotePrefix="0" xfId="0">
      <alignment vertical="center" wrapText="1"/>
    </xf>
    <xf numFmtId="9" fontId="3" fillId="0" borderId="2" applyAlignment="1" pivotButton="0" quotePrefix="0" xfId="0">
      <alignment vertical="center" wrapText="1"/>
    </xf>
    <xf numFmtId="165" fontId="3" fillId="0" borderId="2" applyAlignment="1" pivotButton="0" quotePrefix="0" xfId="0">
      <alignment vertical="center" wrapText="1"/>
    </xf>
    <xf numFmtId="166" fontId="4" fillId="0" borderId="2" applyAlignment="1" pivotButton="0" quotePrefix="0" xfId="0">
      <alignment vertical="center" wrapText="1"/>
    </xf>
    <xf numFmtId="0" fontId="6" fillId="3" borderId="0" applyAlignment="1" pivotButton="0" quotePrefix="0" xfId="0">
      <alignment vertical="center" wrapText="1"/>
    </xf>
    <xf numFmtId="0" fontId="0" fillId="0" borderId="0" applyAlignment="1" pivotButton="0" quotePrefix="0" xfId="0">
      <alignment vertical="center" wrapText="1"/>
    </xf>
    <xf numFmtId="0" fontId="7" fillId="0" borderId="0" applyAlignment="1" pivotButton="0" quotePrefix="0" xfId="0">
      <alignment vertical="center" wrapText="1"/>
    </xf>
    <xf numFmtId="0" fontId="8" fillId="4" borderId="0" applyAlignment="1" pivotButton="0" quotePrefix="0" xfId="0">
      <alignment vertical="center" wrapText="1"/>
    </xf>
    <xf numFmtId="0" fontId="5" fillId="3" borderId="2" applyAlignment="1" pivotButton="0" quotePrefix="0" xfId="0">
      <alignment vertical="center" wrapText="1"/>
    </xf>
    <xf numFmtId="0" fontId="0" fillId="0" borderId="2" applyAlignment="1" pivotButton="0" quotePrefix="0" xfId="0">
      <alignment vertical="center" wrapText="1"/>
    </xf>
    <xf numFmtId="2" fontId="0" fillId="0" borderId="2" applyAlignment="1" pivotButton="0" quotePrefix="0" xfId="0">
      <alignment vertical="center" wrapText="1"/>
    </xf>
    <xf numFmtId="0" fontId="9" fillId="0" borderId="2" applyAlignment="1" pivotButton="0" quotePrefix="0" xfId="0">
      <alignment vertical="center" wrapText="1"/>
    </xf>
    <xf numFmtId="165" fontId="0" fillId="0" borderId="2" applyAlignment="1" pivotButton="0" quotePrefix="0" xfId="0">
      <alignment vertical="center" wrapText="1"/>
    </xf>
    <xf numFmtId="167" fontId="0" fillId="0" borderId="0" applyAlignment="1" pivotButton="0" quotePrefix="0" xfId="0">
      <alignment vertical="center" wrapText="1"/>
    </xf>
    <xf numFmtId="165" fontId="0" fillId="0" borderId="0" applyAlignment="1" pivotButton="0" quotePrefix="0" xfId="0">
      <alignment vertical="center" wrapText="1"/>
    </xf>
    <xf numFmtId="166" fontId="0" fillId="0" borderId="2" applyAlignment="1" pivotButton="0" quotePrefix="0" xfId="0">
      <alignment vertical="center" wrapText="1"/>
    </xf>
    <xf numFmtId="166" fontId="0" fillId="0" borderId="0" applyAlignment="1" pivotButton="0" quotePrefix="0" xfId="0">
      <alignment vertical="center" wrapText="1"/>
    </xf>
    <xf numFmtId="168" fontId="0" fillId="0" borderId="2" applyAlignment="1" pivotButton="0" quotePrefix="0" xfId="0">
      <alignment vertical="center" wrapText="1"/>
    </xf>
    <xf numFmtId="169" fontId="0" fillId="0" borderId="2" applyAlignment="1" pivotButton="0" quotePrefix="0" xfId="0">
      <alignment vertical="center" wrapText="1"/>
    </xf>
    <xf numFmtId="0" fontId="5" fillId="5" borderId="0" applyAlignment="1" pivotButton="0" quotePrefix="0" xfId="0">
      <alignment vertical="center" wrapText="1"/>
    </xf>
    <xf numFmtId="0" fontId="0" fillId="6" borderId="0" applyAlignment="1" pivotButton="0" quotePrefix="0" xfId="0">
      <alignment vertical="center" wrapText="1"/>
    </xf>
    <xf numFmtId="167" fontId="0" fillId="0" borderId="0" applyAlignment="1" pivotButton="0" quotePrefix="0" xfId="0">
      <alignment vertical="center" wrapText="1"/>
    </xf>
    <xf numFmtId="168" fontId="0" fillId="0" borderId="2" applyAlignment="1" pivotButton="0" quotePrefix="0" xfId="0">
      <alignment vertical="center" wrapText="1"/>
    </xf>
    <xf numFmtId="169" fontId="0" fillId="0" borderId="2" applyAlignment="1" pivotButton="0" quotePrefix="0" xfId="0">
      <alignment vertical="center" wrapText="1"/>
    </xf>
    <xf numFmtId="169" fontId="4" fillId="0" borderId="2" applyAlignment="1" pivotButton="0" quotePrefix="0" xfId="0">
      <alignment vertical="center" wrapText="1"/>
    </xf>
    <xf numFmtId="9" fontId="10" fillId="0" borderId="0" applyAlignment="1" pivotButton="0" quotePrefix="0" xfId="0">
      <alignment horizontal="center" vertical="center"/>
    </xf>
    <xf numFmtId="165" fontId="4" fillId="0" borderId="0" applyAlignment="1" pivotButton="0" quotePrefix="0" xfId="0">
      <alignment horizontal="center" vertical="center"/>
    </xf>
    <xf numFmtId="169" fontId="11" fillId="0" borderId="2" applyAlignment="1" pivotButton="0" quotePrefix="0" xfId="0">
      <alignment vertical="center" wrapText="1"/>
    </xf>
    <xf numFmtId="166" fontId="11" fillId="0" borderId="2" applyAlignment="1" pivotButton="0" quotePrefix="0" xfId="0">
      <alignment vertical="center" wrapText="1"/>
    </xf>
    <xf numFmtId="170" fontId="0" fillId="0" borderId="2" applyAlignment="1" pivotButton="0" quotePrefix="0" xfId="0">
      <alignment vertical="center" wrapText="1"/>
    </xf>
    <xf numFmtId="0" fontId="12" fillId="0" borderId="2" applyAlignment="1" pivotButton="0" quotePrefix="0" xfId="0">
      <alignment vertical="center" wrapText="1"/>
    </xf>
    <xf numFmtId="1" fontId="0" fillId="0" borderId="2" applyAlignment="1" pivotButton="0" quotePrefix="0" xfId="0">
      <alignment vertical="center" wrapText="1"/>
    </xf>
    <xf numFmtId="0" fontId="13" fillId="0" borderId="0" applyAlignment="1" pivotButton="0" quotePrefix="0" xfId="0">
      <alignment vertical="top" wrapText="1"/>
    </xf>
    <xf numFmtId="0" fontId="14" fillId="0" borderId="0" applyAlignment="1" pivotButton="0" quotePrefix="0" xfId="0">
      <alignment vertical="top" wrapText="1"/>
    </xf>
    <xf numFmtId="0" fontId="4" fillId="0" borderId="2" applyAlignment="1" pivotButton="0" quotePrefix="0" xfId="0">
      <alignment horizontal="center"/>
    </xf>
    <xf numFmtId="0" fontId="0" fillId="0" borderId="2" applyAlignment="1" pivotButton="0" quotePrefix="0" xfId="0">
      <alignment horizontal="center"/>
    </xf>
    <xf numFmtId="0" fontId="0" fillId="0" borderId="0"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OpenAI</author>
  </authors>
  <commentList>
    <comment ref="G1" authorId="0" shapeId="0">
      <text>
        <t>Nested IF classification based on average of Math, Science and English: A+ &gt;=90, A &gt;=80, B &gt;=70, C &gt;=60, D &gt;=50, else F.</t>
      </text>
    </comment>
  </commentList>
</comments>
</file>

<file path=xl/comments/comment2.xml><?xml version="1.0" encoding="utf-8"?>
<comments xmlns="http://schemas.openxmlformats.org/spreadsheetml/2006/main">
  <authors>
    <author>OpenAI</author>
    <author>Student</author>
  </authors>
  <commentList>
    <comment ref="E1" authorId="0" shapeId="0">
      <text>
        <t>The supplied Sales Data has an Amount column, not a dedicated Product Price column. The VLOOKUP example therefore uses the average sales Amount per product as the reference amount.</t>
      </text>
    </comment>
    <comment ref="P1" authorId="1" shapeId="0">
      <text>
        <t>Input: assumed GST rate 18% (sample value). Used as absolute reference $P$1.</t>
      </text>
    </comment>
  </commentList>
</comments>
</file>

<file path=xl/comments/comment3.xml><?xml version="1.0" encoding="utf-8"?>
<comments xmlns="http://schemas.openxmlformats.org/spreadsheetml/2006/main">
  <authors>
    <author>Student</author>
  </authors>
  <commentList>
    <comment ref="H1" authorId="0" shapeId="0">
      <text>
        <t>Future joining dates (after today) show 0 years of service.</t>
      </text>
    </comment>
  </commentList>
</comments>
</file>

<file path=xl/comments/comment4.xml><?xml version="1.0" encoding="utf-8"?>
<comments xmlns="http://schemas.openxmlformats.org/spreadsheetml/2006/main">
  <authors>
    <author>Student</author>
  </authors>
  <commentList>
    <comment ref="G32" authorId="0" shapeId="0">
      <text>
        <t>Sample prices entered by student (assumption) because the dataset has no price column.</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rgb="00FFC000"/>
    <outlinePr summaryBelow="0" summaryRight="0"/>
    <pageSetUpPr fitToPage="1"/>
  </sheetPr>
  <dimension ref="A1:Z977"/>
  <sheetViews>
    <sheetView showGridLines="0" workbookViewId="0">
      <selection activeCell="A1" sqref="A1"/>
    </sheetView>
  </sheetViews>
  <sheetFormatPr baseColWidth="8" defaultColWidth="14.43" defaultRowHeight="15" customHeight="1"/>
  <cols>
    <col width="110" customWidth="1" style="12" min="1" max="1"/>
  </cols>
  <sheetData>
    <row r="1" ht="24" customHeight="1" s="12">
      <c r="A1" s="13" t="inlineStr">
        <is>
          <t>PR. 1 Fundamental Booster</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150" customHeight="1" s="12">
      <c r="A2" s="14" t="inlineStr">
        <is>
          <t>Topics: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
Main Tasks: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
Deliverable:
Complete the given worksheets by applying the required formulas in respective sheets.</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ht="24" customHeight="1" s="12">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ht="24" customHeight="1" s="12">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ht="24" customHeight="1" s="12">
      <c r="A5" s="15" t="inlineStr">
        <is>
          <t>Essential Tasks</t>
        </is>
      </c>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ht="24" customHeight="1" s="12">
      <c r="A6" s="16" t="inlineStr">
        <is>
          <t>Relative &amp; Absolute Cell References, Formatting, and Data Input</t>
        </is>
      </c>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ht="24" customHeight="1" s="12">
      <c r="A7" s="11" t="inlineStr">
        <is>
          <t>Enter and format data (bold, italic, currency, date, custom formats).</t>
        </is>
      </c>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ht="24" customHeight="1" s="12">
      <c r="A8" s="11" t="inlineStr">
        <is>
          <t>Use absolute ($A$1) and relative (A1) references in formulas.</t>
        </is>
      </c>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ht="24" customHeight="1" s="12">
      <c r="A9" s="11"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ht="24" customHeight="1" s="12">
      <c r="A10" s="16" t="inlineStr">
        <is>
          <t>Using IF Formula &amp; Nesting IF Formulas</t>
        </is>
      </c>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ht="24" customHeight="1" s="12">
      <c r="A11" s="11" t="inlineStr">
        <is>
          <t>Classify students' grades based on their scores.</t>
        </is>
      </c>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ht="24" customHeight="1" s="12">
      <c r="A12" s="11" t="inlineStr">
        <is>
          <t>Compute discounts for sales based on price thresholds.</t>
        </is>
      </c>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ht="24" customHeight="1" s="12">
      <c r="A13" s="11"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ht="24" customHeight="1" s="12">
      <c r="A14" s="16" t="inlineStr">
        <is>
          <t>Using IF with AND/OR Formulas</t>
        </is>
      </c>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ht="24" customHeight="1" s="12">
      <c r="A15" s="11" t="inlineStr">
        <is>
          <t>Identify students who scored above 80 in both Math &amp; Science using IF(AND(...)).</t>
        </is>
      </c>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ht="24" customHeight="1" s="12">
      <c r="A16" s="11" t="inlineStr">
        <is>
          <t>Determine whether a product is eligible for discount using IF(OR(...)).</t>
        </is>
      </c>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ht="24" customHeight="1" s="12">
      <c r="A17" s="11"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ht="24" customHeight="1" s="12">
      <c r="A18" s="16" t="inlineStr">
        <is>
          <t>COUNTIFS, SUMIFS, AVERAGEIFS</t>
        </is>
      </c>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ht="24" customHeight="1" s="12">
      <c r="A19" s="11" t="inlineStr">
        <is>
          <t>Count the number of students who scored above 50 in Math.</t>
        </is>
      </c>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ht="24" customHeight="1" s="12">
      <c r="A20" s="11" t="inlineStr">
        <is>
          <t>Sum total sales for a specific region and product.</t>
        </is>
      </c>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24" customHeight="1" s="12">
      <c r="A21" s="11" t="inlineStr">
        <is>
          <t>Calculate the average score for students who scored above 60.</t>
        </is>
      </c>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24" customHeight="1" s="12">
      <c r="A22" s="11"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24" customHeight="1" s="12">
      <c r="A23" s="16" t="inlineStr">
        <is>
          <t>VLOOKUP Function</t>
        </is>
      </c>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24" customHeight="1" s="12">
      <c r="A24" s="11" t="inlineStr">
        <is>
          <t>Fetch student names based on ID from a separate dataset.</t>
        </is>
      </c>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24" customHeight="1" s="12">
      <c r="A25" s="11" t="inlineStr">
        <is>
          <t>Retrieve product prices based on product codes.</t>
        </is>
      </c>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24" customHeight="1" s="12">
      <c r="A26" s="11"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24" customHeight="1" s="12">
      <c r="A27" s="16" t="inlineStr">
        <is>
          <t>INDEX and MATCH Functions</t>
        </is>
      </c>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24" customHeight="1" s="12">
      <c r="A28" s="11" t="inlineStr">
        <is>
          <t>Find sales values for a specific salesperson in a specific month.</t>
        </is>
      </c>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24" customHeight="1" s="12">
      <c r="A29" s="11" t="inlineStr">
        <is>
          <t>Look up employee details dynamically without column restrictions.</t>
        </is>
      </c>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24" customHeight="1" s="12">
      <c r="A30" s="11"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24" customHeight="1" s="12">
      <c r="A31" s="16" t="inlineStr">
        <is>
          <t>Excel TEXT Functions</t>
        </is>
      </c>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24" customHeight="1" s="12">
      <c r="A32" s="11" t="inlineStr">
        <is>
          <t>Extract the first name from full names using LEFT and FIND.</t>
        </is>
      </c>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24" customHeight="1" s="12">
      <c r="A33" s="11" t="inlineStr">
        <is>
          <t>Convert names to uppercase/lowercase using UPPER(), LOWER().</t>
        </is>
      </c>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24" customHeight="1" s="12">
      <c r="A34" s="11"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24" customHeight="1" s="12">
      <c r="A35" s="16" t="inlineStr">
        <is>
          <t>XLOOKUP Function</t>
        </is>
      </c>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24" customHeight="1" s="12">
      <c r="A36" s="11" t="inlineStr">
        <is>
          <t>Search for salesperson performance based on flexible search criteria.</t>
        </is>
      </c>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24" customHeight="1" s="12">
      <c r="A37" s="11" t="inlineStr">
        <is>
          <t>Find employee salaries without worrying about sorted data.</t>
        </is>
      </c>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24" customHeight="1" s="12">
      <c r="A38" s="11"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24" customHeight="1" s="12">
      <c r="A39" s="16" t="inlineStr">
        <is>
          <t>XMATCH Function</t>
        </is>
      </c>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24" customHeight="1" s="12">
      <c r="A40" s="11" t="inlineStr">
        <is>
          <t>Find the position of a product in a sales list.</t>
        </is>
      </c>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24" customHeight="1" s="12">
      <c r="A41" s="11"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24" customHeight="1" s="12">
      <c r="A42" s="16" t="inlineStr">
        <is>
          <t>INDIRECT Function</t>
        </is>
      </c>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24" customHeight="1" s="12">
      <c r="A43" s="11" t="inlineStr">
        <is>
          <t>Dynamically reference a cell range using INDIRECT.</t>
        </is>
      </c>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24" customHeight="1" s="12">
      <c r="A44" s="11"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24" customHeight="1" s="12">
      <c r="A45" s="16" t="inlineStr">
        <is>
          <t>OFFSET Function</t>
        </is>
      </c>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24" customHeight="1" s="12">
      <c r="A46" s="11" t="inlineStr">
        <is>
          <t>Create dynamic ranges for sales trends.</t>
        </is>
      </c>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24" customHeight="1" s="12">
      <c r="A47" s="11"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24" customHeight="1" s="12">
      <c r="A48" s="16" t="inlineStr">
        <is>
          <t>Date and Time Functions</t>
        </is>
      </c>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24" customHeight="1" s="12">
      <c r="A49" s="11" t="inlineStr">
        <is>
          <t>Calculate age from date of birth.</t>
        </is>
      </c>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24" customHeight="1" s="12">
      <c r="A50" s="11" t="inlineStr">
        <is>
          <t>Find the difference in days between two dates.</t>
        </is>
      </c>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24" customHeight="1" s="12">
      <c r="A51" s="11"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24" customHeight="1" s="12">
      <c r="A52" s="16" t="inlineStr">
        <is>
          <t>Math Functions</t>
        </is>
      </c>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24" customHeight="1" s="12">
      <c r="A53" s="11" t="inlineStr">
        <is>
          <t>Use ROUND(), CEILING(), and FLOOR() for financial calculations.</t>
        </is>
      </c>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24" customHeight="1" s="12">
      <c r="A54" s="11"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24" customHeight="1" s="12">
      <c r="A55" s="16" t="inlineStr">
        <is>
          <t>Return Multiple Values using FILTER Function</t>
        </is>
      </c>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24" customHeight="1" s="12">
      <c r="A56" s="11" t="inlineStr">
        <is>
          <t>Extract a list of top-performing students based on scores.</t>
        </is>
      </c>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5B9BD5"/>
    <outlinePr summaryBelow="1" summaryRight="1"/>
    <pageSetUpPr fitToPage="1"/>
  </sheetPr>
  <dimension ref="A1:Z1000"/>
  <sheetViews>
    <sheetView workbookViewId="0">
      <pane ySplit="1" topLeftCell="A2" activePane="bottomLeft" state="frozen"/>
      <selection pane="bottomLeft" activeCell="A1" sqref="A1"/>
    </sheetView>
  </sheetViews>
  <sheetFormatPr baseColWidth="8" defaultColWidth="14.43" defaultRowHeight="15" customHeight="1"/>
  <cols>
    <col width="12" customWidth="1" style="12" min="1" max="1"/>
    <col width="16" customWidth="1" style="12" min="2" max="2"/>
    <col width="10" customWidth="1" style="12" min="3" max="3"/>
    <col width="10" customWidth="1" style="12" min="4" max="4"/>
    <col width="10" customWidth="1" style="12" min="5" max="5"/>
    <col width="16" customWidth="1" style="12" min="6" max="6"/>
    <col width="20" customWidth="1" style="12" min="7" max="26"/>
    <col width="13" customWidth="1" style="12" min="8" max="8"/>
    <col width="22" customWidth="1" style="12" min="9" max="9"/>
    <col width="16" customWidth="1" style="12" min="10" max="10"/>
    <col width="18" customWidth="1" style="12" min="11" max="11"/>
    <col width="14" customWidth="1" style="12" min="12" max="12"/>
    <col width="18" customWidth="1" style="12" min="13" max="13"/>
    <col width="16" customWidth="1" style="12" min="14" max="14"/>
    <col width="16" customWidth="1" style="12" min="15" max="15"/>
  </cols>
  <sheetData>
    <row r="1">
      <c r="A1" s="17" t="inlineStr">
        <is>
          <t>Student ID</t>
        </is>
      </c>
      <c r="B1" s="17" t="inlineStr">
        <is>
          <t>Name</t>
        </is>
      </c>
      <c r="C1" s="17" t="inlineStr">
        <is>
          <t>Math</t>
        </is>
      </c>
      <c r="D1" s="17" t="inlineStr">
        <is>
          <t>Science</t>
        </is>
      </c>
      <c r="E1" s="17" t="inlineStr">
        <is>
          <t>English</t>
        </is>
      </c>
      <c r="F1" s="17" t="inlineStr">
        <is>
          <t>Enrollment Date</t>
        </is>
      </c>
      <c r="G1" s="17" t="inlineStr">
        <is>
          <t>Grade Classification</t>
        </is>
      </c>
      <c r="H1" s="17" t="inlineStr">
        <is>
          <t>Math &gt; 50?</t>
        </is>
      </c>
      <c r="I1" s="17" t="inlineStr">
        <is>
          <t>Math &amp; Science &gt; 80?</t>
        </is>
      </c>
      <c r="J1" s="17" t="inlineStr">
        <is>
          <t>Average Score</t>
        </is>
      </c>
      <c r="K1" s="17" t="inlineStr">
        <is>
          <t>Average &gt; 60?</t>
        </is>
      </c>
      <c r="L1" s="17" t="inlineStr">
        <is>
          <t>First Name</t>
        </is>
      </c>
      <c r="M1" s="17" t="inlineStr">
        <is>
          <t>UPPER Name</t>
        </is>
      </c>
      <c r="N1" s="17" t="inlineStr">
        <is>
          <t>lower Name</t>
        </is>
      </c>
      <c r="O1" s="17" t="inlineStr">
        <is>
          <t>Enrollment Year</t>
        </is>
      </c>
      <c r="P1" s="4" t="n"/>
      <c r="Q1" s="4" t="n"/>
      <c r="R1" s="4" t="n"/>
      <c r="S1" s="4" t="n"/>
      <c r="T1" s="4" t="n"/>
      <c r="U1" s="4" t="n"/>
      <c r="V1" s="4" t="n"/>
      <c r="W1" s="4" t="n"/>
      <c r="X1" s="4" t="n"/>
      <c r="Y1" s="4" t="n"/>
      <c r="Z1" s="4" t="n"/>
    </row>
    <row r="2">
      <c r="A2" s="56" t="n">
        <v>1001</v>
      </c>
      <c r="B2" s="18" t="inlineStr">
        <is>
          <t>Student 1</t>
        </is>
      </c>
      <c r="C2" s="18" t="n">
        <v>61</v>
      </c>
      <c r="D2" s="18" t="n">
        <v>48</v>
      </c>
      <c r="E2" s="18" t="n">
        <v>76</v>
      </c>
      <c r="F2" s="46" t="n">
        <v>43101</v>
      </c>
      <c r="G2" s="20" t="str">
        <f>IF(AVERAGE(C2:E2)&gt;=90,"A+",IF(AVERAGE(C2:E2)&gt;=80,"A",IF(AVERAGE(C2:E2)&gt;=70,"B",IF(AVERAGE(C2:E2)&gt;=60,"C",IF(AVERAGE(C2:E2)&gt;=50,"D","F")))))</f>
        <v>C</v>
      </c>
      <c r="H2" s="20" t="str">
        <f>IF(C2&gt;50,"Yes","No")</f>
        <v>Yes</v>
      </c>
      <c r="I2" s="20" t="str">
        <f>IF(AND(C2&gt;80,D2&gt;80),"Yes","No")</f>
        <v>No</v>
      </c>
      <c r="J2" s="21">
        <f>AVERAGE(C2:E2)</f>
        <v>61.6666666666667</v>
      </c>
      <c r="K2" s="20" t="str">
        <f>IF(J2&gt;60,"Yes","No")</f>
        <v>Yes</v>
      </c>
      <c r="L2" s="20" t="str">
        <f>LEFT(B2,FIND(" ",B2&amp;" ")-1)</f>
        <v>Student</v>
      </c>
      <c r="M2" s="20" t="str">
        <f>UPPER(B2)</f>
        <v>STUDENT 1</v>
      </c>
      <c r="N2" s="20" t="str">
        <f>LOWER(B2)</f>
        <v>student 1</v>
      </c>
      <c r="O2" s="20">
        <f>YEAR(F2)</f>
        <v>2018</v>
      </c>
      <c r="P2" s="4" t="n"/>
      <c r="Q2" s="4" t="n"/>
      <c r="R2" s="4" t="n"/>
      <c r="S2" s="4" t="n"/>
      <c r="T2" s="4" t="n"/>
      <c r="U2" s="4" t="n"/>
      <c r="V2" s="4" t="n"/>
      <c r="W2" s="4" t="n"/>
      <c r="X2" s="4" t="n"/>
      <c r="Y2" s="4" t="n"/>
      <c r="Z2" s="4" t="n"/>
    </row>
    <row r="3">
      <c r="A3" s="56" t="n">
        <v>1002</v>
      </c>
      <c r="B3" s="18" t="inlineStr">
        <is>
          <t>Student 2</t>
        </is>
      </c>
      <c r="C3" s="18" t="n">
        <v>78</v>
      </c>
      <c r="D3" s="18" t="n">
        <v>76</v>
      </c>
      <c r="E3" s="18" t="n">
        <v>70</v>
      </c>
      <c r="F3" s="46" t="n">
        <v>43281</v>
      </c>
      <c r="G3" s="20" t="str">
        <f>IF(AVERAGE(C3:E3)&gt;=90,"A+",IF(AVERAGE(C3:E3)&gt;=80,"A",IF(AVERAGE(C3:E3)&gt;=70,"B",IF(AVERAGE(C3:E3)&gt;=60,"C",IF(AVERAGE(C3:E3)&gt;=50,"D","F")))))</f>
        <v>B</v>
      </c>
      <c r="H3" s="20" t="str">
        <f>IF(C3&gt;50,"Yes","No")</f>
        <v>Yes</v>
      </c>
      <c r="I3" s="20" t="str">
        <f>IF(AND(C3&gt;80,D3&gt;80),"Yes","No")</f>
        <v>No</v>
      </c>
      <c r="J3" s="21">
        <f>AVERAGE(C3:E3)</f>
        <v>74.6666666666667</v>
      </c>
      <c r="K3" s="20" t="str">
        <f>IF(J3&gt;60,"Yes","No")</f>
        <v>Yes</v>
      </c>
      <c r="L3" s="20" t="str">
        <f>LEFT(B3,FIND(" ",B3&amp;" ")-1)</f>
        <v>Student</v>
      </c>
      <c r="M3" s="20" t="str">
        <f>UPPER(B3)</f>
        <v>STUDENT 2</v>
      </c>
      <c r="N3" s="20" t="str">
        <f>LOWER(B3)</f>
        <v>student 2</v>
      </c>
      <c r="O3" s="20">
        <f>YEAR(F3)</f>
        <v>2018</v>
      </c>
      <c r="P3" s="4" t="n"/>
      <c r="Q3" s="4" t="n"/>
      <c r="R3" s="4" t="n"/>
      <c r="S3" s="4" t="n"/>
      <c r="T3" s="4" t="n"/>
      <c r="U3" s="4" t="n"/>
      <c r="V3" s="4" t="n"/>
      <c r="W3" s="4" t="n"/>
      <c r="X3" s="4" t="n"/>
      <c r="Y3" s="4" t="n"/>
      <c r="Z3" s="4" t="n"/>
    </row>
    <row r="4">
      <c r="A4" s="56" t="n">
        <v>1003</v>
      </c>
      <c r="B4" s="18" t="inlineStr">
        <is>
          <t>Student 3</t>
        </is>
      </c>
      <c r="C4" s="18" t="n">
        <v>97</v>
      </c>
      <c r="D4" s="18" t="n">
        <v>60</v>
      </c>
      <c r="E4" s="18" t="n">
        <v>51</v>
      </c>
      <c r="F4" s="46" t="n">
        <v>43461</v>
      </c>
      <c r="G4" s="20" t="str">
        <f>IF(AVERAGE(C4:E4)&gt;=90,"A+",IF(AVERAGE(C4:E4)&gt;=80,"A",IF(AVERAGE(C4:E4)&gt;=70,"B",IF(AVERAGE(C4:E4)&gt;=60,"C",IF(AVERAGE(C4:E4)&gt;=50,"D","F")))))</f>
        <v>C</v>
      </c>
      <c r="H4" s="20" t="str">
        <f>IF(C4&gt;50,"Yes","No")</f>
        <v>Yes</v>
      </c>
      <c r="I4" s="20" t="str">
        <f>IF(AND(C4&gt;80,D4&gt;80),"Yes","No")</f>
        <v>No</v>
      </c>
      <c r="J4" s="21">
        <f>AVERAGE(C4:E4)</f>
        <v>69.3333333333333</v>
      </c>
      <c r="K4" s="20" t="str">
        <f>IF(J4&gt;60,"Yes","No")</f>
        <v>Yes</v>
      </c>
      <c r="L4" s="20" t="str">
        <f>LEFT(B4,FIND(" ",B4&amp;" ")-1)</f>
        <v>Student</v>
      </c>
      <c r="M4" s="20" t="str">
        <f>UPPER(B4)</f>
        <v>STUDENT 3</v>
      </c>
      <c r="N4" s="20" t="str">
        <f>LOWER(B4)</f>
        <v>student 3</v>
      </c>
      <c r="O4" s="20">
        <f>YEAR(F4)</f>
        <v>2018</v>
      </c>
      <c r="P4" s="4" t="n"/>
      <c r="Q4" s="4" t="n"/>
      <c r="R4" s="4" t="n"/>
      <c r="S4" s="4" t="n"/>
      <c r="T4" s="4" t="n"/>
      <c r="U4" s="4" t="n"/>
      <c r="V4" s="4" t="n"/>
      <c r="W4" s="4" t="n"/>
      <c r="X4" s="4" t="n"/>
      <c r="Y4" s="4" t="n"/>
      <c r="Z4" s="4" t="n"/>
    </row>
    <row r="5">
      <c r="A5" s="56" t="n">
        <v>1004</v>
      </c>
      <c r="B5" s="18" t="inlineStr">
        <is>
          <t>Student 4</t>
        </is>
      </c>
      <c r="C5" s="18" t="n">
        <v>74</v>
      </c>
      <c r="D5" s="18" t="n">
        <v>55</v>
      </c>
      <c r="E5" s="18" t="n">
        <v>46</v>
      </c>
      <c r="F5" s="46" t="n">
        <v>43641</v>
      </c>
      <c r="G5" s="20" t="str">
        <f>IF(AVERAGE(C5:E5)&gt;=90,"A+",IF(AVERAGE(C5:E5)&gt;=80,"A",IF(AVERAGE(C5:E5)&gt;=70,"B",IF(AVERAGE(C5:E5)&gt;=60,"C",IF(AVERAGE(C5:E5)&gt;=50,"D","F")))))</f>
        <v>D</v>
      </c>
      <c r="H5" s="20" t="str">
        <f>IF(C5&gt;50,"Yes","No")</f>
        <v>Yes</v>
      </c>
      <c r="I5" s="20" t="str">
        <f>IF(AND(C5&gt;80,D5&gt;80),"Yes","No")</f>
        <v>No</v>
      </c>
      <c r="J5" s="21">
        <f>AVERAGE(C5:E5)</f>
        <v>58.3333333333333</v>
      </c>
      <c r="K5" s="20" t="str">
        <f>IF(J5&gt;60,"Yes","No")</f>
        <v>No</v>
      </c>
      <c r="L5" s="20" t="str">
        <f>LEFT(B5,FIND(" ",B5&amp;" ")-1)</f>
        <v>Student</v>
      </c>
      <c r="M5" s="20" t="str">
        <f>UPPER(B5)</f>
        <v>STUDENT 4</v>
      </c>
      <c r="N5" s="20" t="str">
        <f>LOWER(B5)</f>
        <v>student 4</v>
      </c>
      <c r="O5" s="20">
        <f>YEAR(F5)</f>
        <v>2019</v>
      </c>
      <c r="P5" s="4" t="n"/>
      <c r="Q5" s="4" t="n"/>
      <c r="R5" s="4" t="n"/>
      <c r="S5" s="4" t="n"/>
      <c r="T5" s="4" t="n"/>
      <c r="U5" s="4" t="n"/>
      <c r="V5" s="4" t="n"/>
      <c r="W5" s="4" t="n"/>
      <c r="X5" s="4" t="n"/>
      <c r="Y5" s="4" t="n"/>
      <c r="Z5" s="4" t="n"/>
    </row>
    <row r="6">
      <c r="A6" s="56" t="n">
        <v>1005</v>
      </c>
      <c r="B6" s="18" t="inlineStr">
        <is>
          <t>Student 5</t>
        </is>
      </c>
      <c r="C6" s="18" t="n">
        <v>68</v>
      </c>
      <c r="D6" s="18" t="n">
        <v>74</v>
      </c>
      <c r="E6" s="18" t="n">
        <v>84</v>
      </c>
      <c r="F6" s="46" t="n">
        <v>43821</v>
      </c>
      <c r="G6" s="20" t="str">
        <f>IF(AVERAGE(C6:E6)&gt;=90,"A+",IF(AVERAGE(C6:E6)&gt;=80,"A",IF(AVERAGE(C6:E6)&gt;=70,"B",IF(AVERAGE(C6:E6)&gt;=60,"C",IF(AVERAGE(C6:E6)&gt;=50,"D","F")))))</f>
        <v>B</v>
      </c>
      <c r="H6" s="20" t="str">
        <f>IF(C6&gt;50,"Yes","No")</f>
        <v>Yes</v>
      </c>
      <c r="I6" s="20" t="str">
        <f>IF(AND(C6&gt;80,D6&gt;80),"Yes","No")</f>
        <v>No</v>
      </c>
      <c r="J6" s="21">
        <f>AVERAGE(C6:E6)</f>
        <v>75.3333333333333</v>
      </c>
      <c r="K6" s="20" t="str">
        <f>IF(J6&gt;60,"Yes","No")</f>
        <v>Yes</v>
      </c>
      <c r="L6" s="20" t="str">
        <f>LEFT(B6,FIND(" ",B6&amp;" ")-1)</f>
        <v>Student</v>
      </c>
      <c r="M6" s="20" t="str">
        <f>UPPER(B6)</f>
        <v>STUDENT 5</v>
      </c>
      <c r="N6" s="20" t="str">
        <f>LOWER(B6)</f>
        <v>student 5</v>
      </c>
      <c r="O6" s="20">
        <f>YEAR(F6)</f>
        <v>2019</v>
      </c>
      <c r="P6" s="4" t="n"/>
      <c r="Q6" s="4" t="n"/>
      <c r="R6" s="4" t="n"/>
      <c r="S6" s="4" t="n"/>
      <c r="T6" s="4" t="n"/>
      <c r="U6" s="4" t="n"/>
      <c r="V6" s="4" t="n"/>
      <c r="W6" s="4" t="n"/>
      <c r="X6" s="4" t="n"/>
      <c r="Y6" s="4" t="n"/>
      <c r="Z6" s="4" t="n"/>
    </row>
    <row r="7">
      <c r="A7" s="56" t="n">
        <v>1006</v>
      </c>
      <c r="B7" s="18" t="inlineStr">
        <is>
          <t>Student 6</t>
        </is>
      </c>
      <c r="C7" s="18" t="n">
        <v>80</v>
      </c>
      <c r="D7" s="18" t="n">
        <v>70</v>
      </c>
      <c r="E7" s="18" t="n">
        <v>65</v>
      </c>
      <c r="F7" s="46" t="n">
        <v>44001</v>
      </c>
      <c r="G7" s="20" t="str">
        <f>IF(AVERAGE(C7:E7)&gt;=90,"A+",IF(AVERAGE(C7:E7)&gt;=80,"A",IF(AVERAGE(C7:E7)&gt;=70,"B",IF(AVERAGE(C7:E7)&gt;=60,"C",IF(AVERAGE(C7:E7)&gt;=50,"D","F")))))</f>
        <v>B</v>
      </c>
      <c r="H7" s="20" t="str">
        <f>IF(C7&gt;50,"Yes","No")</f>
        <v>Yes</v>
      </c>
      <c r="I7" s="20" t="str">
        <f>IF(AND(C7&gt;80,D7&gt;80),"Yes","No")</f>
        <v>No</v>
      </c>
      <c r="J7" s="21">
        <f>AVERAGE(C7:E7)</f>
        <v>71.6666666666667</v>
      </c>
      <c r="K7" s="20" t="str">
        <f>IF(J7&gt;60,"Yes","No")</f>
        <v>Yes</v>
      </c>
      <c r="L7" s="20" t="str">
        <f>LEFT(B7,FIND(" ",B7&amp;" ")-1)</f>
        <v>Student</v>
      </c>
      <c r="M7" s="20" t="str">
        <f>UPPER(B7)</f>
        <v>STUDENT 6</v>
      </c>
      <c r="N7" s="20" t="str">
        <f>LOWER(B7)</f>
        <v>student 6</v>
      </c>
      <c r="O7" s="20">
        <f>YEAR(F7)</f>
        <v>2020</v>
      </c>
      <c r="P7" s="4" t="n"/>
      <c r="Q7" s="4" t="n"/>
      <c r="R7" s="4" t="n"/>
      <c r="S7" s="4" t="n"/>
      <c r="T7" s="4" t="n"/>
      <c r="U7" s="4" t="n"/>
      <c r="V7" s="4" t="n"/>
      <c r="W7" s="4" t="n"/>
      <c r="X7" s="4" t="n"/>
      <c r="Y7" s="4" t="n"/>
      <c r="Z7" s="4" t="n"/>
    </row>
    <row r="8">
      <c r="A8" s="56" t="n">
        <v>1007</v>
      </c>
      <c r="B8" s="18" t="inlineStr">
        <is>
          <t>Student 7</t>
        </is>
      </c>
      <c r="C8" s="18" t="n">
        <v>75</v>
      </c>
      <c r="D8" s="18" t="n">
        <v>47</v>
      </c>
      <c r="E8" s="18" t="n">
        <v>78</v>
      </c>
      <c r="F8" s="46" t="n">
        <v>44181</v>
      </c>
      <c r="G8" s="20" t="str">
        <f>IF(AVERAGE(C8:E8)&gt;=90,"A+",IF(AVERAGE(C8:E8)&gt;=80,"A",IF(AVERAGE(C8:E8)&gt;=70,"B",IF(AVERAGE(C8:E8)&gt;=60,"C",IF(AVERAGE(C8:E8)&gt;=50,"D","F")))))</f>
        <v>C</v>
      </c>
      <c r="H8" s="20" t="str">
        <f>IF(C8&gt;50,"Yes","No")</f>
        <v>Yes</v>
      </c>
      <c r="I8" s="20" t="str">
        <f>IF(AND(C8&gt;80,D8&gt;80),"Yes","No")</f>
        <v>No</v>
      </c>
      <c r="J8" s="21">
        <f>AVERAGE(C8:E8)</f>
        <v>66.6666666666667</v>
      </c>
      <c r="K8" s="20" t="str">
        <f>IF(J8&gt;60,"Yes","No")</f>
        <v>Yes</v>
      </c>
      <c r="L8" s="20" t="str">
        <f>LEFT(B8,FIND(" ",B8&amp;" ")-1)</f>
        <v>Student</v>
      </c>
      <c r="M8" s="20" t="str">
        <f>UPPER(B8)</f>
        <v>STUDENT 7</v>
      </c>
      <c r="N8" s="20" t="str">
        <f>LOWER(B8)</f>
        <v>student 7</v>
      </c>
      <c r="O8" s="20">
        <f>YEAR(F8)</f>
        <v>2020</v>
      </c>
      <c r="P8" s="4" t="n"/>
      <c r="Q8" s="4" t="n"/>
      <c r="R8" s="4" t="n"/>
      <c r="S8" s="4" t="n"/>
      <c r="T8" s="4" t="n"/>
      <c r="U8" s="4" t="n"/>
      <c r="V8" s="4" t="n"/>
      <c r="W8" s="4" t="n"/>
      <c r="X8" s="4" t="n"/>
      <c r="Y8" s="4" t="n"/>
      <c r="Z8" s="4" t="n"/>
    </row>
    <row r="9">
      <c r="A9" s="56" t="n">
        <v>1008</v>
      </c>
      <c r="B9" s="18" t="inlineStr">
        <is>
          <t>Student 8</t>
        </is>
      </c>
      <c r="C9" s="18" t="n">
        <v>94</v>
      </c>
      <c r="D9" s="18" t="n">
        <v>67</v>
      </c>
      <c r="E9" s="18" t="n">
        <v>64</v>
      </c>
      <c r="F9" s="46" t="n">
        <v>44361</v>
      </c>
      <c r="G9" s="20" t="str">
        <f>IF(AVERAGE(C9:E9)&gt;=90,"A+",IF(AVERAGE(C9:E9)&gt;=80,"A",IF(AVERAGE(C9:E9)&gt;=70,"B",IF(AVERAGE(C9:E9)&gt;=60,"C",IF(AVERAGE(C9:E9)&gt;=50,"D","F")))))</f>
        <v>B</v>
      </c>
      <c r="H9" s="20" t="str">
        <f>IF(C9&gt;50,"Yes","No")</f>
        <v>Yes</v>
      </c>
      <c r="I9" s="20" t="str">
        <f>IF(AND(C9&gt;80,D9&gt;80),"Yes","No")</f>
        <v>No</v>
      </c>
      <c r="J9" s="21">
        <f>AVERAGE(C9:E9)</f>
        <v>75</v>
      </c>
      <c r="K9" s="20" t="str">
        <f>IF(J9&gt;60,"Yes","No")</f>
        <v>Yes</v>
      </c>
      <c r="L9" s="20" t="str">
        <f>LEFT(B9,FIND(" ",B9&amp;" ")-1)</f>
        <v>Student</v>
      </c>
      <c r="M9" s="20" t="str">
        <f>UPPER(B9)</f>
        <v>STUDENT 8</v>
      </c>
      <c r="N9" s="20" t="str">
        <f>LOWER(B9)</f>
        <v>student 8</v>
      </c>
      <c r="O9" s="20">
        <f>YEAR(F9)</f>
        <v>2021</v>
      </c>
      <c r="P9" s="4" t="n"/>
      <c r="Q9" s="4" t="n"/>
      <c r="R9" s="4" t="n"/>
      <c r="S9" s="4" t="n"/>
      <c r="T9" s="4" t="n"/>
      <c r="U9" s="4" t="n"/>
      <c r="V9" s="4" t="n"/>
      <c r="W9" s="4" t="n"/>
      <c r="X9" s="4" t="n"/>
      <c r="Y9" s="4" t="n"/>
      <c r="Z9" s="4" t="n"/>
    </row>
    <row r="10">
      <c r="A10" s="56" t="n">
        <v>1009</v>
      </c>
      <c r="B10" s="18" t="inlineStr">
        <is>
          <t>Student 9</t>
        </is>
      </c>
      <c r="C10" s="18" t="n">
        <v>41</v>
      </c>
      <c r="D10" s="18" t="n">
        <v>75</v>
      </c>
      <c r="E10" s="18" t="n">
        <v>56</v>
      </c>
      <c r="F10" s="46" t="n">
        <v>44541</v>
      </c>
      <c r="G10" s="20" t="str">
        <f>IF(AVERAGE(C10:E10)&gt;=90,"A+",IF(AVERAGE(C10:E10)&gt;=80,"A",IF(AVERAGE(C10:E10)&gt;=70,"B",IF(AVERAGE(C10:E10)&gt;=60,"C",IF(AVERAGE(C10:E10)&gt;=50,"D","F")))))</f>
        <v>D</v>
      </c>
      <c r="H10" s="20" t="str">
        <f>IF(C10&gt;50,"Yes","No")</f>
        <v>No</v>
      </c>
      <c r="I10" s="20" t="str">
        <f>IF(AND(C10&gt;80,D10&gt;80),"Yes","No")</f>
        <v>No</v>
      </c>
      <c r="J10" s="21">
        <f>AVERAGE(C10:E10)</f>
        <v>57.3333333333333</v>
      </c>
      <c r="K10" s="20" t="str">
        <f>IF(J10&gt;60,"Yes","No")</f>
        <v>No</v>
      </c>
      <c r="L10" s="20" t="str">
        <f>LEFT(B10,FIND(" ",B10&amp;" ")-1)</f>
        <v>Student</v>
      </c>
      <c r="M10" s="20" t="str">
        <f>UPPER(B10)</f>
        <v>STUDENT 9</v>
      </c>
      <c r="N10" s="20" t="str">
        <f>LOWER(B10)</f>
        <v>student 9</v>
      </c>
      <c r="O10" s="20">
        <f>YEAR(F10)</f>
        <v>2021</v>
      </c>
      <c r="P10" s="4" t="n"/>
      <c r="Q10" s="4" t="n"/>
      <c r="R10" s="4" t="n"/>
      <c r="S10" s="4" t="n"/>
      <c r="T10" s="4" t="n"/>
      <c r="U10" s="4" t="n"/>
      <c r="V10" s="4" t="n"/>
      <c r="W10" s="4" t="n"/>
      <c r="X10" s="4" t="n"/>
      <c r="Y10" s="4" t="n"/>
      <c r="Z10" s="4" t="n"/>
    </row>
    <row r="11">
      <c r="A11" s="56" t="n">
        <v>1010</v>
      </c>
      <c r="B11" s="18" t="inlineStr">
        <is>
          <t>Student 10</t>
        </is>
      </c>
      <c r="C11" s="18" t="n">
        <v>98</v>
      </c>
      <c r="D11" s="18" t="n">
        <v>54</v>
      </c>
      <c r="E11" s="18" t="n">
        <v>58</v>
      </c>
      <c r="F11" s="46" t="n">
        <v>44721</v>
      </c>
      <c r="G11" s="20" t="str">
        <f>IF(AVERAGE(C11:E11)&gt;=90,"A+",IF(AVERAGE(C11:E11)&gt;=80,"A",IF(AVERAGE(C11:E11)&gt;=70,"B",IF(AVERAGE(C11:E11)&gt;=60,"C",IF(AVERAGE(C11:E11)&gt;=50,"D","F")))))</f>
        <v>B</v>
      </c>
      <c r="H11" s="20" t="str">
        <f>IF(C11&gt;50,"Yes","No")</f>
        <v>Yes</v>
      </c>
      <c r="I11" s="20" t="str">
        <f>IF(AND(C11&gt;80,D11&gt;80),"Yes","No")</f>
        <v>No</v>
      </c>
      <c r="J11" s="21">
        <f>AVERAGE(C11:E11)</f>
        <v>70</v>
      </c>
      <c r="K11" s="20" t="str">
        <f>IF(J11&gt;60,"Yes","No")</f>
        <v>Yes</v>
      </c>
      <c r="L11" s="20" t="str">
        <f>LEFT(B11,FIND(" ",B11&amp;" ")-1)</f>
        <v>Student</v>
      </c>
      <c r="M11" s="20" t="str">
        <f>UPPER(B11)</f>
        <v>STUDENT 10</v>
      </c>
      <c r="N11" s="20" t="str">
        <f>LOWER(B11)</f>
        <v>student 10</v>
      </c>
      <c r="O11" s="20">
        <f>YEAR(F11)</f>
        <v>2022</v>
      </c>
      <c r="P11" s="4" t="n"/>
      <c r="Q11" s="4" t="n"/>
      <c r="R11" s="4" t="n"/>
      <c r="S11" s="4" t="n"/>
      <c r="T11" s="4" t="n"/>
      <c r="U11" s="4" t="n"/>
      <c r="V11" s="4" t="n"/>
      <c r="W11" s="4" t="n"/>
      <c r="X11" s="4" t="n"/>
      <c r="Y11" s="4" t="n"/>
      <c r="Z11" s="4" t="n"/>
    </row>
    <row r="12">
      <c r="A12" s="56" t="n">
        <v>1011</v>
      </c>
      <c r="B12" s="18" t="inlineStr">
        <is>
          <t>Student 11</t>
        </is>
      </c>
      <c r="C12" s="18" t="n">
        <v>73</v>
      </c>
      <c r="D12" s="18" t="n">
        <v>79</v>
      </c>
      <c r="E12" s="18" t="n">
        <v>53</v>
      </c>
      <c r="F12" s="46" t="n">
        <v>44901</v>
      </c>
      <c r="G12" s="20" t="str">
        <f>IF(AVERAGE(C12:E12)&gt;=90,"A+",IF(AVERAGE(C12:E12)&gt;=80,"A",IF(AVERAGE(C12:E12)&gt;=70,"B",IF(AVERAGE(C12:E12)&gt;=60,"C",IF(AVERAGE(C12:E12)&gt;=50,"D","F")))))</f>
        <v>C</v>
      </c>
      <c r="H12" s="20" t="str">
        <f>IF(C12&gt;50,"Yes","No")</f>
        <v>Yes</v>
      </c>
      <c r="I12" s="20" t="str">
        <f>IF(AND(C12&gt;80,D12&gt;80),"Yes","No")</f>
        <v>No</v>
      </c>
      <c r="J12" s="21">
        <f>AVERAGE(C12:E12)</f>
        <v>68.3333333333333</v>
      </c>
      <c r="K12" s="20" t="str">
        <f>IF(J12&gt;60,"Yes","No")</f>
        <v>Yes</v>
      </c>
      <c r="L12" s="20" t="str">
        <f>LEFT(B12,FIND(" ",B12&amp;" ")-1)</f>
        <v>Student</v>
      </c>
      <c r="M12" s="20" t="str">
        <f>UPPER(B12)</f>
        <v>STUDENT 11</v>
      </c>
      <c r="N12" s="20" t="str">
        <f>LOWER(B12)</f>
        <v>student 11</v>
      </c>
      <c r="O12" s="20">
        <f>YEAR(F12)</f>
        <v>2022</v>
      </c>
      <c r="P12" s="4" t="n"/>
      <c r="Q12" s="4" t="n"/>
      <c r="R12" s="4" t="n"/>
      <c r="S12" s="4" t="n"/>
      <c r="T12" s="4" t="n"/>
      <c r="U12" s="4" t="n"/>
      <c r="V12" s="4" t="n"/>
      <c r="W12" s="4" t="n"/>
      <c r="X12" s="4" t="n"/>
      <c r="Y12" s="4" t="n"/>
      <c r="Z12" s="4" t="n"/>
    </row>
    <row r="13">
      <c r="A13" s="56" t="n">
        <v>1012</v>
      </c>
      <c r="B13" s="18" t="inlineStr">
        <is>
          <t>Student 12</t>
        </is>
      </c>
      <c r="C13" s="18" t="n">
        <v>85</v>
      </c>
      <c r="D13" s="18" t="n">
        <v>89</v>
      </c>
      <c r="E13" s="18" t="n">
        <v>79</v>
      </c>
      <c r="F13" s="46" t="n">
        <v>45081</v>
      </c>
      <c r="G13" s="20" t="str">
        <f>IF(AVERAGE(C13:E13)&gt;=90,"A+",IF(AVERAGE(C13:E13)&gt;=80,"A",IF(AVERAGE(C13:E13)&gt;=70,"B",IF(AVERAGE(C13:E13)&gt;=60,"C",IF(AVERAGE(C13:E13)&gt;=50,"D","F")))))</f>
        <v>A</v>
      </c>
      <c r="H13" s="20" t="str">
        <f>IF(C13&gt;50,"Yes","No")</f>
        <v>Yes</v>
      </c>
      <c r="I13" s="20" t="str">
        <f>IF(AND(C13&gt;80,D13&gt;80),"Yes","No")</f>
        <v>Yes</v>
      </c>
      <c r="J13" s="21">
        <f>AVERAGE(C13:E13)</f>
        <v>84.3333333333333</v>
      </c>
      <c r="K13" s="20" t="str">
        <f>IF(J13&gt;60,"Yes","No")</f>
        <v>Yes</v>
      </c>
      <c r="L13" s="20" t="str">
        <f>LEFT(B13,FIND(" ",B13&amp;" ")-1)</f>
        <v>Student</v>
      </c>
      <c r="M13" s="20" t="str">
        <f>UPPER(B13)</f>
        <v>STUDENT 12</v>
      </c>
      <c r="N13" s="20" t="str">
        <f>LOWER(B13)</f>
        <v>student 12</v>
      </c>
      <c r="O13" s="20">
        <f>YEAR(F13)</f>
        <v>2023</v>
      </c>
      <c r="P13" s="4" t="n"/>
      <c r="Q13" s="4" t="n"/>
      <c r="R13" s="4" t="n"/>
      <c r="S13" s="4" t="n"/>
      <c r="T13" s="4" t="n"/>
      <c r="U13" s="4" t="n"/>
      <c r="V13" s="4" t="n"/>
      <c r="W13" s="4" t="n"/>
      <c r="X13" s="4" t="n"/>
      <c r="Y13" s="4" t="n"/>
      <c r="Z13" s="4" t="n"/>
    </row>
    <row r="14">
      <c r="A14" s="56" t="n">
        <v>1013</v>
      </c>
      <c r="B14" s="18" t="inlineStr">
        <is>
          <t>Student 13</t>
        </is>
      </c>
      <c r="C14" s="18" t="n">
        <v>98</v>
      </c>
      <c r="D14" s="18" t="n">
        <v>90</v>
      </c>
      <c r="E14" s="18" t="n">
        <v>97</v>
      </c>
      <c r="F14" s="46" t="n">
        <v>45261</v>
      </c>
      <c r="G14" s="20" t="str">
        <f>IF(AVERAGE(C14:E14)&gt;=90,"A+",IF(AVERAGE(C14:E14)&gt;=80,"A",IF(AVERAGE(C14:E14)&gt;=70,"B",IF(AVERAGE(C14:E14)&gt;=60,"C",IF(AVERAGE(C14:E14)&gt;=50,"D","F")))))</f>
        <v>A+</v>
      </c>
      <c r="H14" s="20" t="str">
        <f>IF(C14&gt;50,"Yes","No")</f>
        <v>Yes</v>
      </c>
      <c r="I14" s="20" t="str">
        <f>IF(AND(C14&gt;80,D14&gt;80),"Yes","No")</f>
        <v>Yes</v>
      </c>
      <c r="J14" s="21">
        <f>AVERAGE(C14:E14)</f>
        <v>95</v>
      </c>
      <c r="K14" s="20" t="str">
        <f>IF(J14&gt;60,"Yes","No")</f>
        <v>Yes</v>
      </c>
      <c r="L14" s="20" t="str">
        <f>LEFT(B14,FIND(" ",B14&amp;" ")-1)</f>
        <v>Student</v>
      </c>
      <c r="M14" s="20" t="str">
        <f>UPPER(B14)</f>
        <v>STUDENT 13</v>
      </c>
      <c r="N14" s="20" t="str">
        <f>LOWER(B14)</f>
        <v>student 13</v>
      </c>
      <c r="O14" s="20">
        <f>YEAR(F14)</f>
        <v>2023</v>
      </c>
      <c r="P14" s="4" t="n"/>
      <c r="Q14" s="4" t="n"/>
      <c r="R14" s="4" t="n"/>
      <c r="S14" s="4" t="n"/>
      <c r="T14" s="4" t="n"/>
      <c r="U14" s="4" t="n"/>
      <c r="V14" s="4" t="n"/>
      <c r="W14" s="4" t="n"/>
      <c r="X14" s="4" t="n"/>
      <c r="Y14" s="4" t="n"/>
      <c r="Z14" s="4" t="n"/>
    </row>
    <row r="15">
      <c r="A15" s="56" t="n">
        <v>1014</v>
      </c>
      <c r="B15" s="18" t="inlineStr">
        <is>
          <t>Student 14</t>
        </is>
      </c>
      <c r="C15" s="18" t="n">
        <v>93</v>
      </c>
      <c r="D15" s="18" t="n">
        <v>40</v>
      </c>
      <c r="E15" s="18" t="n">
        <v>44</v>
      </c>
      <c r="F15" s="46" t="n">
        <v>45441</v>
      </c>
      <c r="G15" s="20" t="str">
        <f>IF(AVERAGE(C15:E15)&gt;=90,"A+",IF(AVERAGE(C15:E15)&gt;=80,"A",IF(AVERAGE(C15:E15)&gt;=70,"B",IF(AVERAGE(C15:E15)&gt;=60,"C",IF(AVERAGE(C15:E15)&gt;=50,"D","F")))))</f>
        <v>D</v>
      </c>
      <c r="H15" s="20" t="str">
        <f>IF(C15&gt;50,"Yes","No")</f>
        <v>Yes</v>
      </c>
      <c r="I15" s="20" t="str">
        <f>IF(AND(C15&gt;80,D15&gt;80),"Yes","No")</f>
        <v>No</v>
      </c>
      <c r="J15" s="21">
        <f>AVERAGE(C15:E15)</f>
        <v>59</v>
      </c>
      <c r="K15" s="20" t="str">
        <f>IF(J15&gt;60,"Yes","No")</f>
        <v>No</v>
      </c>
      <c r="L15" s="20" t="str">
        <f>LEFT(B15,FIND(" ",B15&amp;" ")-1)</f>
        <v>Student</v>
      </c>
      <c r="M15" s="20" t="str">
        <f>UPPER(B15)</f>
        <v>STUDENT 14</v>
      </c>
      <c r="N15" s="20" t="str">
        <f>LOWER(B15)</f>
        <v>student 14</v>
      </c>
      <c r="O15" s="20">
        <f>YEAR(F15)</f>
        <v>2024</v>
      </c>
      <c r="P15" s="4" t="n"/>
      <c r="Q15" s="4" t="n"/>
      <c r="R15" s="4" t="n"/>
      <c r="S15" s="4" t="n"/>
      <c r="T15" s="4" t="n"/>
      <c r="U15" s="4" t="n"/>
      <c r="V15" s="4" t="n"/>
      <c r="W15" s="4" t="n"/>
      <c r="X15" s="4" t="n"/>
      <c r="Y15" s="4" t="n"/>
      <c r="Z15" s="4" t="n"/>
    </row>
    <row r="16">
      <c r="A16" s="56" t="n">
        <v>1015</v>
      </c>
      <c r="B16" s="18" t="inlineStr">
        <is>
          <t>Student 15</t>
        </is>
      </c>
      <c r="C16" s="18" t="n">
        <v>70</v>
      </c>
      <c r="D16" s="18" t="n">
        <v>51</v>
      </c>
      <c r="E16" s="18" t="n">
        <v>75</v>
      </c>
      <c r="F16" s="46" t="n">
        <v>45621</v>
      </c>
      <c r="G16" s="20" t="str">
        <f>IF(AVERAGE(C16:E16)&gt;=90,"A+",IF(AVERAGE(C16:E16)&gt;=80,"A",IF(AVERAGE(C16:E16)&gt;=70,"B",IF(AVERAGE(C16:E16)&gt;=60,"C",IF(AVERAGE(C16:E16)&gt;=50,"D","F")))))</f>
        <v>C</v>
      </c>
      <c r="H16" s="20" t="str">
        <f>IF(C16&gt;50,"Yes","No")</f>
        <v>Yes</v>
      </c>
      <c r="I16" s="20" t="str">
        <f>IF(AND(C16&gt;80,D16&gt;80),"Yes","No")</f>
        <v>No</v>
      </c>
      <c r="J16" s="21">
        <f>AVERAGE(C16:E16)</f>
        <v>65.3333333333333</v>
      </c>
      <c r="K16" s="20" t="str">
        <f>IF(J16&gt;60,"Yes","No")</f>
        <v>Yes</v>
      </c>
      <c r="L16" s="20" t="str">
        <f>LEFT(B16,FIND(" ",B16&amp;" ")-1)</f>
        <v>Student</v>
      </c>
      <c r="M16" s="20" t="str">
        <f>UPPER(B16)</f>
        <v>STUDENT 15</v>
      </c>
      <c r="N16" s="20" t="str">
        <f>LOWER(B16)</f>
        <v>student 15</v>
      </c>
      <c r="O16" s="20">
        <f>YEAR(F16)</f>
        <v>2024</v>
      </c>
      <c r="P16" s="4" t="n"/>
      <c r="Q16" s="4" t="n"/>
      <c r="R16" s="4" t="n"/>
      <c r="S16" s="4" t="n"/>
      <c r="T16" s="4" t="n"/>
      <c r="U16" s="4" t="n"/>
      <c r="V16" s="4" t="n"/>
      <c r="W16" s="4" t="n"/>
      <c r="X16" s="4" t="n"/>
      <c r="Y16" s="4" t="n"/>
      <c r="Z16" s="4" t="n"/>
    </row>
    <row r="17">
      <c r="A17" s="56" t="n">
        <v>1016</v>
      </c>
      <c r="B17" s="18" t="inlineStr">
        <is>
          <t>Student 16</t>
        </is>
      </c>
      <c r="C17" s="18" t="n">
        <v>98</v>
      </c>
      <c r="D17" s="18" t="n">
        <v>77</v>
      </c>
      <c r="E17" s="18" t="n">
        <v>60</v>
      </c>
      <c r="F17" s="46" t="n">
        <v>45801</v>
      </c>
      <c r="G17" s="20" t="str">
        <f>IF(AVERAGE(C17:E17)&gt;=90,"A+",IF(AVERAGE(C17:E17)&gt;=80,"A",IF(AVERAGE(C17:E17)&gt;=70,"B",IF(AVERAGE(C17:E17)&gt;=60,"C",IF(AVERAGE(C17:E17)&gt;=50,"D","F")))))</f>
        <v>B</v>
      </c>
      <c r="H17" s="20" t="str">
        <f>IF(C17&gt;50,"Yes","No")</f>
        <v>Yes</v>
      </c>
      <c r="I17" s="20" t="str">
        <f>IF(AND(C17&gt;80,D17&gt;80),"Yes","No")</f>
        <v>No</v>
      </c>
      <c r="J17" s="21">
        <f>AVERAGE(C17:E17)</f>
        <v>78.3333333333333</v>
      </c>
      <c r="K17" s="20" t="str">
        <f>IF(J17&gt;60,"Yes","No")</f>
        <v>Yes</v>
      </c>
      <c r="L17" s="20" t="str">
        <f>LEFT(B17,FIND(" ",B17&amp;" ")-1)</f>
        <v>Student</v>
      </c>
      <c r="M17" s="20" t="str">
        <f>UPPER(B17)</f>
        <v>STUDENT 16</v>
      </c>
      <c r="N17" s="20" t="str">
        <f>LOWER(B17)</f>
        <v>student 16</v>
      </c>
      <c r="O17" s="20">
        <f>YEAR(F17)</f>
        <v>2025</v>
      </c>
      <c r="P17" s="4" t="n"/>
      <c r="Q17" s="4" t="n"/>
      <c r="R17" s="4" t="n"/>
      <c r="S17" s="4" t="n"/>
      <c r="T17" s="4" t="n"/>
      <c r="U17" s="4" t="n"/>
      <c r="V17" s="4" t="n"/>
      <c r="W17" s="4" t="n"/>
      <c r="X17" s="4" t="n"/>
      <c r="Y17" s="4" t="n"/>
      <c r="Z17" s="4" t="n"/>
    </row>
    <row r="18">
      <c r="A18" s="56" t="n">
        <v>1017</v>
      </c>
      <c r="B18" s="18" t="inlineStr">
        <is>
          <t>Student 17</t>
        </is>
      </c>
      <c r="C18" s="18" t="n">
        <v>66</v>
      </c>
      <c r="D18" s="18" t="n">
        <v>59</v>
      </c>
      <c r="E18" s="18" t="n">
        <v>40</v>
      </c>
      <c r="F18" s="46" t="n">
        <v>45981</v>
      </c>
      <c r="G18" s="20" t="str">
        <f>IF(AVERAGE(C18:E18)&gt;=90,"A+",IF(AVERAGE(C18:E18)&gt;=80,"A",IF(AVERAGE(C18:E18)&gt;=70,"B",IF(AVERAGE(C18:E18)&gt;=60,"C",IF(AVERAGE(C18:E18)&gt;=50,"D","F")))))</f>
        <v>D</v>
      </c>
      <c r="H18" s="20" t="str">
        <f>IF(C18&gt;50,"Yes","No")</f>
        <v>Yes</v>
      </c>
      <c r="I18" s="20" t="str">
        <f>IF(AND(C18&gt;80,D18&gt;80),"Yes","No")</f>
        <v>No</v>
      </c>
      <c r="J18" s="21">
        <f>AVERAGE(C18:E18)</f>
        <v>55</v>
      </c>
      <c r="K18" s="20" t="str">
        <f>IF(J18&gt;60,"Yes","No")</f>
        <v>No</v>
      </c>
      <c r="L18" s="20" t="str">
        <f>LEFT(B18,FIND(" ",B18&amp;" ")-1)</f>
        <v>Student</v>
      </c>
      <c r="M18" s="20" t="str">
        <f>UPPER(B18)</f>
        <v>STUDENT 17</v>
      </c>
      <c r="N18" s="20" t="str">
        <f>LOWER(B18)</f>
        <v>student 17</v>
      </c>
      <c r="O18" s="20">
        <f>YEAR(F18)</f>
        <v>2025</v>
      </c>
      <c r="P18" s="4" t="n"/>
      <c r="Q18" s="4" t="n"/>
      <c r="R18" s="4" t="n"/>
      <c r="S18" s="4" t="n"/>
      <c r="T18" s="4" t="n"/>
      <c r="U18" s="4" t="n"/>
      <c r="V18" s="4" t="n"/>
      <c r="W18" s="4" t="n"/>
      <c r="X18" s="4" t="n"/>
      <c r="Y18" s="4" t="n"/>
      <c r="Z18" s="4" t="n"/>
    </row>
    <row r="19">
      <c r="A19" s="56" t="n">
        <v>1018</v>
      </c>
      <c r="B19" s="18" t="inlineStr">
        <is>
          <t>Student 18</t>
        </is>
      </c>
      <c r="C19" s="18" t="n">
        <v>82</v>
      </c>
      <c r="D19" s="18" t="n">
        <v>48</v>
      </c>
      <c r="E19" s="18" t="n">
        <v>79</v>
      </c>
      <c r="F19" s="46" t="n">
        <v>46161</v>
      </c>
      <c r="G19" s="20" t="str">
        <f>IF(AVERAGE(C19:E19)&gt;=90,"A+",IF(AVERAGE(C19:E19)&gt;=80,"A",IF(AVERAGE(C19:E19)&gt;=70,"B",IF(AVERAGE(C19:E19)&gt;=60,"C",IF(AVERAGE(C19:E19)&gt;=50,"D","F")))))</f>
        <v>C</v>
      </c>
      <c r="H19" s="20" t="str">
        <f>IF(C19&gt;50,"Yes","No")</f>
        <v>Yes</v>
      </c>
      <c r="I19" s="20" t="str">
        <f>IF(AND(C19&gt;80,D19&gt;80),"Yes","No")</f>
        <v>No</v>
      </c>
      <c r="J19" s="21">
        <f>AVERAGE(C19:E19)</f>
        <v>69.6666666666667</v>
      </c>
      <c r="K19" s="20" t="str">
        <f>IF(J19&gt;60,"Yes","No")</f>
        <v>Yes</v>
      </c>
      <c r="L19" s="20" t="str">
        <f>LEFT(B19,FIND(" ",B19&amp;" ")-1)</f>
        <v>Student</v>
      </c>
      <c r="M19" s="20" t="str">
        <f>UPPER(B19)</f>
        <v>STUDENT 18</v>
      </c>
      <c r="N19" s="20" t="str">
        <f>LOWER(B19)</f>
        <v>student 18</v>
      </c>
      <c r="O19" s="20">
        <f>YEAR(F19)</f>
        <v>2026</v>
      </c>
      <c r="P19" s="4" t="n"/>
      <c r="Q19" s="4" t="n"/>
      <c r="R19" s="4" t="n"/>
      <c r="S19" s="4" t="n"/>
      <c r="T19" s="4" t="n"/>
      <c r="U19" s="4" t="n"/>
      <c r="V19" s="4" t="n"/>
      <c r="W19" s="4" t="n"/>
      <c r="X19" s="4" t="n"/>
      <c r="Y19" s="4" t="n"/>
      <c r="Z19" s="4" t="n"/>
    </row>
    <row r="20">
      <c r="A20" s="56" t="n">
        <v>1019</v>
      </c>
      <c r="B20" s="18" t="inlineStr">
        <is>
          <t>Student 19</t>
        </is>
      </c>
      <c r="C20" s="18" t="n">
        <v>90</v>
      </c>
      <c r="D20" s="18" t="n">
        <v>78</v>
      </c>
      <c r="E20" s="18" t="n">
        <v>60</v>
      </c>
      <c r="F20" s="46" t="n">
        <v>46341</v>
      </c>
      <c r="G20" s="20" t="str">
        <f>IF(AVERAGE(C20:E20)&gt;=90,"A+",IF(AVERAGE(C20:E20)&gt;=80,"A",IF(AVERAGE(C20:E20)&gt;=70,"B",IF(AVERAGE(C20:E20)&gt;=60,"C",IF(AVERAGE(C20:E20)&gt;=50,"D","F")))))</f>
        <v>B</v>
      </c>
      <c r="H20" s="20" t="str">
        <f>IF(C20&gt;50,"Yes","No")</f>
        <v>Yes</v>
      </c>
      <c r="I20" s="20" t="str">
        <f>IF(AND(C20&gt;80,D20&gt;80),"Yes","No")</f>
        <v>No</v>
      </c>
      <c r="J20" s="21">
        <f>AVERAGE(C20:E20)</f>
        <v>76</v>
      </c>
      <c r="K20" s="20" t="str">
        <f>IF(J20&gt;60,"Yes","No")</f>
        <v>Yes</v>
      </c>
      <c r="L20" s="20" t="str">
        <f>LEFT(B20,FIND(" ",B20&amp;" ")-1)</f>
        <v>Student</v>
      </c>
      <c r="M20" s="20" t="str">
        <f>UPPER(B20)</f>
        <v>STUDENT 19</v>
      </c>
      <c r="N20" s="20" t="str">
        <f>LOWER(B20)</f>
        <v>student 19</v>
      </c>
      <c r="O20" s="20">
        <f>YEAR(F20)</f>
        <v>2026</v>
      </c>
      <c r="P20" s="4" t="n"/>
      <c r="Q20" s="4" t="n"/>
      <c r="R20" s="4" t="n"/>
      <c r="S20" s="4" t="n"/>
      <c r="T20" s="4" t="n"/>
      <c r="U20" s="4" t="n"/>
      <c r="V20" s="4" t="n"/>
      <c r="W20" s="4" t="n"/>
      <c r="X20" s="4" t="n"/>
      <c r="Y20" s="4" t="n"/>
      <c r="Z20" s="4" t="n"/>
    </row>
    <row r="21" ht="15.75" customHeight="1" s="12">
      <c r="A21" s="56" t="n">
        <v>1020</v>
      </c>
      <c r="B21" s="18" t="inlineStr">
        <is>
          <t>Student 20</t>
        </is>
      </c>
      <c r="C21" s="18" t="n">
        <v>83</v>
      </c>
      <c r="D21" s="18" t="n">
        <v>92</v>
      </c>
      <c r="E21" s="18" t="n">
        <v>55</v>
      </c>
      <c r="F21" s="46" t="n">
        <v>46521</v>
      </c>
      <c r="G21" s="20" t="str">
        <f>IF(AVERAGE(C21:E21)&gt;=90,"A+",IF(AVERAGE(C21:E21)&gt;=80,"A",IF(AVERAGE(C21:E21)&gt;=70,"B",IF(AVERAGE(C21:E21)&gt;=60,"C",IF(AVERAGE(C21:E21)&gt;=50,"D","F")))))</f>
        <v>B</v>
      </c>
      <c r="H21" s="20" t="str">
        <f>IF(C21&gt;50,"Yes","No")</f>
        <v>Yes</v>
      </c>
      <c r="I21" s="20" t="str">
        <f>IF(AND(C21&gt;80,D21&gt;80),"Yes","No")</f>
        <v>Yes</v>
      </c>
      <c r="J21" s="21">
        <f>AVERAGE(C21:E21)</f>
        <v>76.6666666666667</v>
      </c>
      <c r="K21" s="20" t="str">
        <f>IF(J21&gt;60,"Yes","No")</f>
        <v>Yes</v>
      </c>
      <c r="L21" s="20" t="str">
        <f>LEFT(B21,FIND(" ",B21&amp;" ")-1)</f>
        <v>Student</v>
      </c>
      <c r="M21" s="20" t="str">
        <f>UPPER(B21)</f>
        <v>STUDENT 20</v>
      </c>
      <c r="N21" s="20" t="str">
        <f>LOWER(B21)</f>
        <v>student 20</v>
      </c>
      <c r="O21" s="20">
        <f>YEAR(F21)</f>
        <v>2027</v>
      </c>
      <c r="P21" s="4" t="n"/>
      <c r="Q21" s="4" t="n"/>
      <c r="R21" s="4" t="n"/>
      <c r="S21" s="4" t="n"/>
      <c r="T21" s="4" t="n"/>
      <c r="U21" s="4" t="n"/>
      <c r="V21" s="4" t="n"/>
      <c r="W21" s="4" t="n"/>
      <c r="X21" s="4" t="n"/>
      <c r="Y21" s="4" t="n"/>
      <c r="Z21" s="4" t="n"/>
    </row>
    <row r="22" ht="15.75" customHeight="1" s="1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2">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2">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2">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2">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2">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2">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2">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2">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2">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2">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2">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2">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2">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2">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2">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2">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2">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2">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2">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2">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2">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2">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2">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2">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2">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2">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2">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2">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2">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2">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2">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2">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2">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2">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2">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2">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2">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2">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2">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2">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2">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2">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2">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2">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2">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2">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2">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2">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2">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2">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2">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2">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2">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2">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2">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2">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2">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2">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2">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2">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2">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2">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2">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2">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2">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2">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2">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2">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2">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2">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2">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2">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2">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2">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2">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2">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2">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2">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2">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2">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2">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2">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2">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2">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2">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2">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2">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2">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2">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2">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2">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2">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autoFilter ref="A1:O21"/>
  <conditionalFormatting sqref="J2:J21">
    <cfRule type="colorScale" priority="1">
      <colorScale>
        <cfvo type="min"/>
        <cfvo type="percentile" val="50"/>
        <cfvo type="max"/>
        <color rgb="00F8696B"/>
        <color rgb="00FFEB84"/>
        <color rgb="0063BE7B"/>
      </colorScale>
    </cfRule>
  </conditionalFormatting>
  <pageMargins left="0.75" right="0.75" top="1" bottom="1" header="0" footer="0"/>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5B9BD5"/>
    <outlinePr summaryBelow="1" summaryRight="1"/>
    <pageSetUpPr fitToPage="1"/>
  </sheetPr>
  <dimension ref="A1:Z1000"/>
  <sheetViews>
    <sheetView workbookViewId="0">
      <pane ySplit="1" topLeftCell="A2" activePane="bottomLeft" state="frozen"/>
      <selection pane="bottomLeft" activeCell="A1" sqref="A1"/>
    </sheetView>
  </sheetViews>
  <sheetFormatPr baseColWidth="8" defaultColWidth="14.43" defaultRowHeight="15" customHeight="1"/>
  <cols>
    <col width="11" customWidth="1" style="12" min="1" max="1"/>
    <col width="14" customWidth="1" style="12" min="2" max="2"/>
    <col width="12" customWidth="1" style="12" min="3" max="3"/>
    <col width="16" customWidth="1" style="12" min="4" max="4"/>
    <col width="14" customWidth="1" style="12" min="5" max="5"/>
    <col width="14" customWidth="1" style="12" min="6" max="6"/>
    <col width="13" customWidth="1" style="12" min="7" max="26"/>
    <col width="16" customWidth="1" style="12" min="8" max="8"/>
    <col width="14" customWidth="1" style="12" min="9" max="9"/>
    <col width="18" customWidth="1" style="12" min="10" max="10"/>
    <col width="14" customWidth="1" style="12" min="11" max="11"/>
    <col width="10" customWidth="1" style="12" min="12" max="12"/>
    <col width="10" customWidth="1" style="12" min="13" max="13"/>
    <col width="16" customWidth="1" style="12" min="14" max="14"/>
    <col width="12" customWidth="1" style="12" min="15" max="15"/>
    <col width="10" customWidth="1" style="12" min="16" max="16"/>
  </cols>
  <sheetData>
    <row r="1">
      <c r="A1" s="17" t="inlineStr">
        <is>
          <t>Sales ID</t>
        </is>
      </c>
      <c r="B1" s="17" t="inlineStr">
        <is>
          <t>Product</t>
        </is>
      </c>
      <c r="C1" s="17" t="inlineStr">
        <is>
          <t>Region</t>
        </is>
      </c>
      <c r="D1" s="17" t="inlineStr">
        <is>
          <t>Salesperson</t>
        </is>
      </c>
      <c r="E1" s="17" t="inlineStr">
        <is>
          <t>Amount</t>
        </is>
      </c>
      <c r="F1" s="17" t="inlineStr">
        <is>
          <t>Date</t>
        </is>
      </c>
      <c r="G1" s="17" t="inlineStr">
        <is>
          <t>Discount %</t>
        </is>
      </c>
      <c r="H1" s="17" t="inlineStr">
        <is>
          <t>Discount Amount</t>
        </is>
      </c>
      <c r="I1" s="17" t="inlineStr">
        <is>
          <t>Net Sales</t>
        </is>
      </c>
      <c r="J1" s="17" t="inlineStr">
        <is>
          <t>Discount Eligible?</t>
        </is>
      </c>
      <c r="K1" s="17" t="inlineStr">
        <is>
          <t>Month</t>
        </is>
      </c>
      <c r="L1" s="17" t="inlineStr">
        <is>
          <t>Year</t>
        </is>
      </c>
      <c r="M1" s="17" t="inlineStr">
        <is>
          <t>Quarter</t>
        </is>
      </c>
      <c r="N1" s="17" t="inlineStr">
        <is>
          <t>GST Amount</t>
        </is>
      </c>
      <c r="O1" s="17" t="inlineStr">
        <is>
          <t>GST Rate</t>
        </is>
      </c>
      <c r="P1" s="47" t="n">
        <v>0.18</v>
      </c>
      <c r="Q1" s="4" t="n"/>
      <c r="R1" s="4" t="n"/>
      <c r="S1" s="4" t="n"/>
      <c r="T1" s="4" t="n"/>
      <c r="U1" s="4" t="n"/>
      <c r="V1" s="4" t="n"/>
      <c r="W1" s="4" t="n"/>
      <c r="X1" s="4" t="n"/>
      <c r="Y1" s="4" t="n"/>
      <c r="Z1" s="4" t="n"/>
    </row>
    <row r="2">
      <c r="A2" s="56" t="n">
        <v>2001</v>
      </c>
      <c r="B2" s="18" t="inlineStr">
        <is>
          <t>Keyboard</t>
        </is>
      </c>
      <c r="C2" s="18" t="inlineStr">
        <is>
          <t>South</t>
        </is>
      </c>
      <c r="D2" s="18" t="inlineStr">
        <is>
          <t>Person 1</t>
        </is>
      </c>
      <c r="E2" s="22" t="n">
        <v>7048</v>
      </c>
      <c r="F2" s="46" t="n">
        <v>44927</v>
      </c>
      <c r="G2" s="23">
        <f>IF(E2&gt;=40000,15%,IF(E2&gt;=25000,10%,IF(E2&gt;=10000,5%,0%)))</f>
        <v>0</v>
      </c>
      <c r="H2" s="24">
        <f>E2*G2</f>
        <v>0</v>
      </c>
      <c r="I2" s="24">
        <f>E2-H2</f>
        <v>7048</v>
      </c>
      <c r="J2" s="20" t="str">
        <f>IF(OR(E2&gt;=25000,C2="West"),"Eligible","Not Eligible")</f>
        <v>Not Eligible</v>
      </c>
      <c r="K2" s="20" t="str">
        <f>TEXT(F2,"mmmm")</f>
        <v>January</v>
      </c>
      <c r="L2" s="20">
        <f>YEAR(F2)</f>
        <v>2023</v>
      </c>
      <c r="M2" s="20" t="str">
        <f>"Q"&amp;ROUNDUP(MONTH(F2)/3,0)</f>
        <v>Q1</v>
      </c>
      <c r="N2" s="48">
        <f>E2*$P$1</f>
        <v>1268.64</v>
      </c>
      <c r="O2" s="4" t="n"/>
      <c r="P2" s="4" t="n"/>
      <c r="Q2" s="4" t="n"/>
      <c r="R2" s="4" t="n"/>
      <c r="S2" s="4" t="n"/>
      <c r="T2" s="4" t="n"/>
      <c r="U2" s="4" t="n"/>
      <c r="V2" s="4" t="n"/>
      <c r="W2" s="4" t="n"/>
      <c r="X2" s="4" t="n"/>
      <c r="Y2" s="4" t="n"/>
      <c r="Z2" s="4" t="n"/>
    </row>
    <row r="3">
      <c r="A3" s="56" t="n">
        <v>2002</v>
      </c>
      <c r="B3" s="18" t="inlineStr">
        <is>
          <t>Printer</t>
        </is>
      </c>
      <c r="C3" s="18" t="inlineStr">
        <is>
          <t>West</t>
        </is>
      </c>
      <c r="D3" s="18" t="inlineStr">
        <is>
          <t>Person 2</t>
        </is>
      </c>
      <c r="E3" s="22" t="n">
        <v>17428</v>
      </c>
      <c r="F3" s="46" t="n">
        <v>44942</v>
      </c>
      <c r="G3" s="23">
        <f>IF(E3&gt;=40000,15%,IF(E3&gt;=25000,10%,IF(E3&gt;=10000,5%,0%)))</f>
        <v>0.05</v>
      </c>
      <c r="H3" s="24">
        <f>E3*G3</f>
        <v>871.4</v>
      </c>
      <c r="I3" s="24">
        <f>E3-H3</f>
        <v>16556.6</v>
      </c>
      <c r="J3" s="20" t="str">
        <f>IF(OR(E3&gt;=25000,C3="West"),"Eligible","Not Eligible")</f>
        <v>Eligible</v>
      </c>
      <c r="K3" s="20" t="str">
        <f>TEXT(F3,"mmmm")</f>
        <v>January</v>
      </c>
      <c r="L3" s="20">
        <f>YEAR(F3)</f>
        <v>2023</v>
      </c>
      <c r="M3" s="20" t="str">
        <f>"Q"&amp;ROUNDUP(MONTH(F3)/3,0)</f>
        <v>Q1</v>
      </c>
      <c r="N3" s="48">
        <f>E3*$P$1</f>
        <v>3137.04</v>
      </c>
      <c r="O3" s="4" t="n"/>
      <c r="P3" s="4" t="n"/>
      <c r="Q3" s="4" t="n"/>
      <c r="R3" s="4" t="n"/>
      <c r="S3" s="4" t="n"/>
      <c r="T3" s="4" t="n"/>
      <c r="U3" s="4" t="n"/>
      <c r="V3" s="4" t="n"/>
      <c r="W3" s="4" t="n"/>
      <c r="X3" s="4" t="n"/>
      <c r="Y3" s="4" t="n"/>
      <c r="Z3" s="4" t="n"/>
    </row>
    <row r="4">
      <c r="A4" s="56" t="n">
        <v>2003</v>
      </c>
      <c r="B4" s="18" t="inlineStr">
        <is>
          <t>Mouse</t>
        </is>
      </c>
      <c r="C4" s="18" t="inlineStr">
        <is>
          <t>South</t>
        </is>
      </c>
      <c r="D4" s="18" t="inlineStr">
        <is>
          <t>Person 3</t>
        </is>
      </c>
      <c r="E4" s="22" t="n">
        <v>23672</v>
      </c>
      <c r="F4" s="46" t="n">
        <v>44957</v>
      </c>
      <c r="G4" s="23">
        <f>IF(E4&gt;=40000,15%,IF(E4&gt;=25000,10%,IF(E4&gt;=10000,5%,0%)))</f>
        <v>0.05</v>
      </c>
      <c r="H4" s="24">
        <f>E4*G4</f>
        <v>1183.6</v>
      </c>
      <c r="I4" s="24">
        <f>E4-H4</f>
        <v>22488.4</v>
      </c>
      <c r="J4" s="20" t="str">
        <f>IF(OR(E4&gt;=25000,C4="West"),"Eligible","Not Eligible")</f>
        <v>Not Eligible</v>
      </c>
      <c r="K4" s="20" t="str">
        <f>TEXT(F4,"mmmm")</f>
        <v>January</v>
      </c>
      <c r="L4" s="20">
        <f>YEAR(F4)</f>
        <v>2023</v>
      </c>
      <c r="M4" s="20" t="str">
        <f>"Q"&amp;ROUNDUP(MONTH(F4)/3,0)</f>
        <v>Q1</v>
      </c>
      <c r="N4" s="48">
        <f>E4*$P$1</f>
        <v>4260.96</v>
      </c>
      <c r="O4" s="4" t="n"/>
      <c r="P4" s="4" t="n"/>
      <c r="Q4" s="4" t="n"/>
      <c r="R4" s="4" t="n"/>
      <c r="S4" s="4" t="n"/>
      <c r="T4" s="4" t="n"/>
      <c r="U4" s="4" t="n"/>
      <c r="V4" s="4" t="n"/>
      <c r="W4" s="4" t="n"/>
      <c r="X4" s="4" t="n"/>
      <c r="Y4" s="4" t="n"/>
      <c r="Z4" s="4" t="n"/>
    </row>
    <row r="5">
      <c r="A5" s="56" t="n">
        <v>2004</v>
      </c>
      <c r="B5" s="18" t="inlineStr">
        <is>
          <t>Printer</t>
        </is>
      </c>
      <c r="C5" s="18" t="inlineStr">
        <is>
          <t>East</t>
        </is>
      </c>
      <c r="D5" s="18" t="inlineStr">
        <is>
          <t>Person 4</t>
        </is>
      </c>
      <c r="E5" s="22" t="n">
        <v>5264</v>
      </c>
      <c r="F5" s="46" t="n">
        <v>44972</v>
      </c>
      <c r="G5" s="23">
        <f>IF(E5&gt;=40000,15%,IF(E5&gt;=25000,10%,IF(E5&gt;=10000,5%,0%)))</f>
        <v>0</v>
      </c>
      <c r="H5" s="24">
        <f>E5*G5</f>
        <v>0</v>
      </c>
      <c r="I5" s="24">
        <f>E5-H5</f>
        <v>5264</v>
      </c>
      <c r="J5" s="20" t="str">
        <f>IF(OR(E5&gt;=25000,C5="West"),"Eligible","Not Eligible")</f>
        <v>Not Eligible</v>
      </c>
      <c r="K5" s="20" t="str">
        <f>TEXT(F5,"mmmm")</f>
        <v>February</v>
      </c>
      <c r="L5" s="20">
        <f>YEAR(F5)</f>
        <v>2023</v>
      </c>
      <c r="M5" s="20" t="str">
        <f>"Q"&amp;ROUNDUP(MONTH(F5)/3,0)</f>
        <v>Q1</v>
      </c>
      <c r="N5" s="48">
        <f>E5*$P$1</f>
        <v>947.52</v>
      </c>
      <c r="O5" s="4" t="n"/>
      <c r="P5" s="4" t="n"/>
      <c r="Q5" s="4" t="n"/>
      <c r="R5" s="4" t="n"/>
      <c r="S5" s="4" t="n"/>
      <c r="T5" s="4" t="n"/>
      <c r="U5" s="4" t="n"/>
      <c r="V5" s="4" t="n"/>
      <c r="W5" s="4" t="n"/>
      <c r="X5" s="4" t="n"/>
      <c r="Y5" s="4" t="n"/>
      <c r="Z5" s="4" t="n"/>
    </row>
    <row r="6">
      <c r="A6" s="56" t="n">
        <v>2005</v>
      </c>
      <c r="B6" s="18" t="inlineStr">
        <is>
          <t>Keyboard</t>
        </is>
      </c>
      <c r="C6" s="18" t="inlineStr">
        <is>
          <t>North</t>
        </is>
      </c>
      <c r="D6" s="18" t="inlineStr">
        <is>
          <t>Person 5</t>
        </is>
      </c>
      <c r="E6" s="22" t="n">
        <v>43388</v>
      </c>
      <c r="F6" s="46" t="n">
        <v>44987</v>
      </c>
      <c r="G6" s="23">
        <f>IF(E6&gt;=40000,15%,IF(E6&gt;=25000,10%,IF(E6&gt;=10000,5%,0%)))</f>
        <v>0.15</v>
      </c>
      <c r="H6" s="24">
        <f>E6*G6</f>
        <v>6508.2</v>
      </c>
      <c r="I6" s="24">
        <f>E6-H6</f>
        <v>36879.8</v>
      </c>
      <c r="J6" s="20" t="str">
        <f>IF(OR(E6&gt;=25000,C6="West"),"Eligible","Not Eligible")</f>
        <v>Eligible</v>
      </c>
      <c r="K6" s="20" t="str">
        <f>TEXT(F6,"mmmm")</f>
        <v>March</v>
      </c>
      <c r="L6" s="20">
        <f>YEAR(F6)</f>
        <v>2023</v>
      </c>
      <c r="M6" s="20" t="str">
        <f>"Q"&amp;ROUNDUP(MONTH(F6)/3,0)</f>
        <v>Q1</v>
      </c>
      <c r="N6" s="48">
        <f>E6*$P$1</f>
        <v>7809.84</v>
      </c>
      <c r="O6" s="4" t="n"/>
      <c r="P6" s="4" t="n"/>
      <c r="Q6" s="4" t="n"/>
      <c r="R6" s="4" t="n"/>
      <c r="S6" s="4" t="n"/>
      <c r="T6" s="4" t="n"/>
      <c r="U6" s="4" t="n"/>
      <c r="V6" s="4" t="n"/>
      <c r="W6" s="4" t="n"/>
      <c r="X6" s="4" t="n"/>
      <c r="Y6" s="4" t="n"/>
      <c r="Z6" s="4" t="n"/>
    </row>
    <row r="7">
      <c r="A7" s="56" t="n">
        <v>2006</v>
      </c>
      <c r="B7" s="18" t="inlineStr">
        <is>
          <t>Mouse</t>
        </is>
      </c>
      <c r="C7" s="18" t="inlineStr">
        <is>
          <t>North</t>
        </is>
      </c>
      <c r="D7" s="18" t="inlineStr">
        <is>
          <t>Person 6</t>
        </is>
      </c>
      <c r="E7" s="22" t="n">
        <v>19757</v>
      </c>
      <c r="F7" s="46" t="n">
        <v>45002</v>
      </c>
      <c r="G7" s="23">
        <f>IF(E7&gt;=40000,15%,IF(E7&gt;=25000,10%,IF(E7&gt;=10000,5%,0%)))</f>
        <v>0.05</v>
      </c>
      <c r="H7" s="24">
        <f>E7*G7</f>
        <v>987.85</v>
      </c>
      <c r="I7" s="24">
        <f>E7-H7</f>
        <v>18769.15</v>
      </c>
      <c r="J7" s="20" t="str">
        <f>IF(OR(E7&gt;=25000,C7="West"),"Eligible","Not Eligible")</f>
        <v>Not Eligible</v>
      </c>
      <c r="K7" s="20" t="str">
        <f>TEXT(F7,"mmmm")</f>
        <v>March</v>
      </c>
      <c r="L7" s="20">
        <f>YEAR(F7)</f>
        <v>2023</v>
      </c>
      <c r="M7" s="20" t="str">
        <f>"Q"&amp;ROUNDUP(MONTH(F7)/3,0)</f>
        <v>Q1</v>
      </c>
      <c r="N7" s="48">
        <f>E7*$P$1</f>
        <v>3556.26</v>
      </c>
      <c r="O7" s="4" t="n"/>
      <c r="P7" s="4" t="n"/>
      <c r="Q7" s="4" t="n"/>
      <c r="R7" s="4" t="n"/>
      <c r="S7" s="4" t="n"/>
      <c r="T7" s="4" t="n"/>
      <c r="U7" s="4" t="n"/>
      <c r="V7" s="4" t="n"/>
      <c r="W7" s="4" t="n"/>
      <c r="X7" s="4" t="n"/>
      <c r="Y7" s="4" t="n"/>
      <c r="Z7" s="4" t="n"/>
    </row>
    <row r="8">
      <c r="A8" s="56" t="n">
        <v>2007</v>
      </c>
      <c r="B8" s="18" t="inlineStr">
        <is>
          <t>Mouse</t>
        </is>
      </c>
      <c r="C8" s="18" t="inlineStr">
        <is>
          <t>East</t>
        </is>
      </c>
      <c r="D8" s="18" t="inlineStr">
        <is>
          <t>Person 7</t>
        </is>
      </c>
      <c r="E8" s="22" t="n">
        <v>32058</v>
      </c>
      <c r="F8" s="46" t="n">
        <v>45017</v>
      </c>
      <c r="G8" s="23">
        <f>IF(E8&gt;=40000,15%,IF(E8&gt;=25000,10%,IF(E8&gt;=10000,5%,0%)))</f>
        <v>0.1</v>
      </c>
      <c r="H8" s="24">
        <f>E8*G8</f>
        <v>3205.8</v>
      </c>
      <c r="I8" s="24">
        <f>E8-H8</f>
        <v>28852.2</v>
      </c>
      <c r="J8" s="20" t="str">
        <f>IF(OR(E8&gt;=25000,C8="West"),"Eligible","Not Eligible")</f>
        <v>Eligible</v>
      </c>
      <c r="K8" s="20" t="str">
        <f>TEXT(F8,"mmmm")</f>
        <v>April</v>
      </c>
      <c r="L8" s="20">
        <f>YEAR(F8)</f>
        <v>2023</v>
      </c>
      <c r="M8" s="20" t="str">
        <f>"Q"&amp;ROUNDUP(MONTH(F8)/3,0)</f>
        <v>Q2</v>
      </c>
      <c r="N8" s="48">
        <f>E8*$P$1</f>
        <v>5770.44</v>
      </c>
      <c r="O8" s="4" t="n"/>
      <c r="P8" s="4" t="n"/>
      <c r="Q8" s="4" t="n"/>
      <c r="R8" s="4" t="n"/>
      <c r="S8" s="4" t="n"/>
      <c r="T8" s="4" t="n"/>
      <c r="U8" s="4" t="n"/>
      <c r="V8" s="4" t="n"/>
      <c r="W8" s="4" t="n"/>
      <c r="X8" s="4" t="n"/>
      <c r="Y8" s="4" t="n"/>
      <c r="Z8" s="4" t="n"/>
    </row>
    <row r="9">
      <c r="A9" s="56" t="n">
        <v>2008</v>
      </c>
      <c r="B9" s="18" t="inlineStr">
        <is>
          <t>Keyboard</t>
        </is>
      </c>
      <c r="C9" s="18" t="inlineStr">
        <is>
          <t>East</t>
        </is>
      </c>
      <c r="D9" s="18" t="inlineStr">
        <is>
          <t>Person 8</t>
        </is>
      </c>
      <c r="E9" s="22" t="n">
        <v>46429</v>
      </c>
      <c r="F9" s="46" t="n">
        <v>45032</v>
      </c>
      <c r="G9" s="23">
        <f>IF(E9&gt;=40000,15%,IF(E9&gt;=25000,10%,IF(E9&gt;=10000,5%,0%)))</f>
        <v>0.15</v>
      </c>
      <c r="H9" s="24">
        <f>E9*G9</f>
        <v>6964.35</v>
      </c>
      <c r="I9" s="24">
        <f>E9-H9</f>
        <v>39464.65</v>
      </c>
      <c r="J9" s="20" t="str">
        <f>IF(OR(E9&gt;=25000,C9="West"),"Eligible","Not Eligible")</f>
        <v>Eligible</v>
      </c>
      <c r="K9" s="20" t="str">
        <f>TEXT(F9,"mmmm")</f>
        <v>April</v>
      </c>
      <c r="L9" s="20">
        <f>YEAR(F9)</f>
        <v>2023</v>
      </c>
      <c r="M9" s="20" t="str">
        <f>"Q"&amp;ROUNDUP(MONTH(F9)/3,0)</f>
        <v>Q2</v>
      </c>
      <c r="N9" s="48">
        <f>E9*$P$1</f>
        <v>8357.22</v>
      </c>
      <c r="O9" s="4" t="n"/>
      <c r="P9" s="4" t="n"/>
      <c r="Q9" s="4" t="n"/>
      <c r="R9" s="4" t="n"/>
      <c r="S9" s="4" t="n"/>
      <c r="T9" s="4" t="n"/>
      <c r="U9" s="4" t="n"/>
      <c r="V9" s="4" t="n"/>
      <c r="W9" s="4" t="n"/>
      <c r="X9" s="4" t="n"/>
      <c r="Y9" s="4" t="n"/>
      <c r="Z9" s="4" t="n"/>
    </row>
    <row r="10">
      <c r="A10" s="56" t="n">
        <v>2009</v>
      </c>
      <c r="B10" s="18" t="inlineStr">
        <is>
          <t>Printer</t>
        </is>
      </c>
      <c r="C10" s="18" t="inlineStr">
        <is>
          <t>East</t>
        </is>
      </c>
      <c r="D10" s="18" t="inlineStr">
        <is>
          <t>Person 9</t>
        </is>
      </c>
      <c r="E10" s="22" t="n">
        <v>19746</v>
      </c>
      <c r="F10" s="46" t="n">
        <v>45047</v>
      </c>
      <c r="G10" s="23">
        <f>IF(E10&gt;=40000,15%,IF(E10&gt;=25000,10%,IF(E10&gt;=10000,5%,0%)))</f>
        <v>0.05</v>
      </c>
      <c r="H10" s="24">
        <f>E10*G10</f>
        <v>987.3</v>
      </c>
      <c r="I10" s="24">
        <f>E10-H10</f>
        <v>18758.7</v>
      </c>
      <c r="J10" s="20" t="str">
        <f>IF(OR(E10&gt;=25000,C10="West"),"Eligible","Not Eligible")</f>
        <v>Not Eligible</v>
      </c>
      <c r="K10" s="20" t="str">
        <f>TEXT(F10,"mmmm")</f>
        <v>May</v>
      </c>
      <c r="L10" s="20">
        <f>YEAR(F10)</f>
        <v>2023</v>
      </c>
      <c r="M10" s="20" t="str">
        <f>"Q"&amp;ROUNDUP(MONTH(F10)/3,0)</f>
        <v>Q2</v>
      </c>
      <c r="N10" s="48">
        <f>E10*$P$1</f>
        <v>3554.28</v>
      </c>
      <c r="O10" s="4" t="n"/>
      <c r="P10" s="4" t="n"/>
      <c r="Q10" s="4" t="n"/>
      <c r="R10" s="4" t="n"/>
      <c r="S10" s="4" t="n"/>
      <c r="T10" s="4" t="n"/>
      <c r="U10" s="4" t="n"/>
      <c r="V10" s="4" t="n"/>
      <c r="W10" s="4" t="n"/>
      <c r="X10" s="4" t="n"/>
      <c r="Y10" s="4" t="n"/>
      <c r="Z10" s="4" t="n"/>
    </row>
    <row r="11">
      <c r="A11" s="56" t="n">
        <v>2010</v>
      </c>
      <c r="B11" s="18" t="inlineStr">
        <is>
          <t>Keyboard</t>
        </is>
      </c>
      <c r="C11" s="18" t="inlineStr">
        <is>
          <t>South</t>
        </is>
      </c>
      <c r="D11" s="18" t="inlineStr">
        <is>
          <t>Person 10</t>
        </is>
      </c>
      <c r="E11" s="22" t="n">
        <v>35185</v>
      </c>
      <c r="F11" s="46" t="n">
        <v>45062</v>
      </c>
      <c r="G11" s="23">
        <f>IF(E11&gt;=40000,15%,IF(E11&gt;=25000,10%,IF(E11&gt;=10000,5%,0%)))</f>
        <v>0.1</v>
      </c>
      <c r="H11" s="24">
        <f>E11*G11</f>
        <v>3518.5</v>
      </c>
      <c r="I11" s="24">
        <f>E11-H11</f>
        <v>31666.5</v>
      </c>
      <c r="J11" s="20" t="str">
        <f>IF(OR(E11&gt;=25000,C11="West"),"Eligible","Not Eligible")</f>
        <v>Eligible</v>
      </c>
      <c r="K11" s="20" t="str">
        <f>TEXT(F11,"mmmm")</f>
        <v>May</v>
      </c>
      <c r="L11" s="20">
        <f>YEAR(F11)</f>
        <v>2023</v>
      </c>
      <c r="M11" s="20" t="str">
        <f>"Q"&amp;ROUNDUP(MONTH(F11)/3,0)</f>
        <v>Q2</v>
      </c>
      <c r="N11" s="48">
        <f>E11*$P$1</f>
        <v>6333.3</v>
      </c>
      <c r="O11" s="4" t="n"/>
      <c r="P11" s="4" t="n"/>
      <c r="Q11" s="4" t="n"/>
      <c r="R11" s="4" t="n"/>
      <c r="S11" s="4" t="n"/>
      <c r="T11" s="4" t="n"/>
      <c r="U11" s="4" t="n"/>
      <c r="V11" s="4" t="n"/>
      <c r="W11" s="4" t="n"/>
      <c r="X11" s="4" t="n"/>
      <c r="Y11" s="4" t="n"/>
      <c r="Z11" s="4" t="n"/>
    </row>
    <row r="12">
      <c r="A12" s="56" t="n">
        <v>2011</v>
      </c>
      <c r="B12" s="18" t="inlineStr">
        <is>
          <t>Keyboard</t>
        </is>
      </c>
      <c r="C12" s="18" t="inlineStr">
        <is>
          <t>East</t>
        </is>
      </c>
      <c r="D12" s="18" t="inlineStr">
        <is>
          <t>Person 11</t>
        </is>
      </c>
      <c r="E12" s="22" t="n">
        <v>33920</v>
      </c>
      <c r="F12" s="46" t="n">
        <v>45077</v>
      </c>
      <c r="G12" s="23">
        <f>IF(E12&gt;=40000,15%,IF(E12&gt;=25000,10%,IF(E12&gt;=10000,5%,0%)))</f>
        <v>0.1</v>
      </c>
      <c r="H12" s="24">
        <f>E12*G12</f>
        <v>3392</v>
      </c>
      <c r="I12" s="24">
        <f>E12-H12</f>
        <v>30528</v>
      </c>
      <c r="J12" s="20" t="str">
        <f>IF(OR(E12&gt;=25000,C12="West"),"Eligible","Not Eligible")</f>
        <v>Eligible</v>
      </c>
      <c r="K12" s="20" t="str">
        <f>TEXT(F12,"mmmm")</f>
        <v>May</v>
      </c>
      <c r="L12" s="20">
        <f>YEAR(F12)</f>
        <v>2023</v>
      </c>
      <c r="M12" s="20" t="str">
        <f>"Q"&amp;ROUNDUP(MONTH(F12)/3,0)</f>
        <v>Q2</v>
      </c>
      <c r="N12" s="48">
        <f>E12*$P$1</f>
        <v>6105.6</v>
      </c>
      <c r="O12" s="4" t="n"/>
      <c r="P12" s="4" t="n"/>
      <c r="Q12" s="4" t="n"/>
      <c r="R12" s="4" t="n"/>
      <c r="S12" s="4" t="n"/>
      <c r="T12" s="4" t="n"/>
      <c r="U12" s="4" t="n"/>
      <c r="V12" s="4" t="n"/>
      <c r="W12" s="4" t="n"/>
      <c r="X12" s="4" t="n"/>
      <c r="Y12" s="4" t="n"/>
      <c r="Z12" s="4" t="n"/>
    </row>
    <row r="13">
      <c r="A13" s="56" t="n">
        <v>2012</v>
      </c>
      <c r="B13" s="18" t="inlineStr">
        <is>
          <t>Monitor</t>
        </is>
      </c>
      <c r="C13" s="18" t="inlineStr">
        <is>
          <t>North</t>
        </is>
      </c>
      <c r="D13" s="18" t="inlineStr">
        <is>
          <t>Person 12</t>
        </is>
      </c>
      <c r="E13" s="22" t="n">
        <v>35611</v>
      </c>
      <c r="F13" s="46" t="n">
        <v>45092</v>
      </c>
      <c r="G13" s="23">
        <f>IF(E13&gt;=40000,15%,IF(E13&gt;=25000,10%,IF(E13&gt;=10000,5%,0%)))</f>
        <v>0.1</v>
      </c>
      <c r="H13" s="24">
        <f>E13*G13</f>
        <v>3561.1</v>
      </c>
      <c r="I13" s="24">
        <f>E13-H13</f>
        <v>32049.9</v>
      </c>
      <c r="J13" s="20" t="str">
        <f>IF(OR(E13&gt;=25000,C13="West"),"Eligible","Not Eligible")</f>
        <v>Eligible</v>
      </c>
      <c r="K13" s="20" t="str">
        <f>TEXT(F13,"mmmm")</f>
        <v>June</v>
      </c>
      <c r="L13" s="20">
        <f>YEAR(F13)</f>
        <v>2023</v>
      </c>
      <c r="M13" s="20" t="str">
        <f>"Q"&amp;ROUNDUP(MONTH(F13)/3,0)</f>
        <v>Q2</v>
      </c>
      <c r="N13" s="48">
        <f>E13*$P$1</f>
        <v>6409.98</v>
      </c>
      <c r="O13" s="4" t="n"/>
      <c r="P13" s="4" t="n"/>
      <c r="Q13" s="4" t="n"/>
      <c r="R13" s="4" t="n"/>
      <c r="S13" s="4" t="n"/>
      <c r="T13" s="4" t="n"/>
      <c r="U13" s="4" t="n"/>
      <c r="V13" s="4" t="n"/>
      <c r="W13" s="4" t="n"/>
      <c r="X13" s="4" t="n"/>
      <c r="Y13" s="4" t="n"/>
      <c r="Z13" s="4" t="n"/>
    </row>
    <row r="14">
      <c r="A14" s="56" t="n">
        <v>2013</v>
      </c>
      <c r="B14" s="18" t="inlineStr">
        <is>
          <t>Laptop</t>
        </is>
      </c>
      <c r="C14" s="18" t="inlineStr">
        <is>
          <t>East</t>
        </is>
      </c>
      <c r="D14" s="18" t="inlineStr">
        <is>
          <t>Person 13</t>
        </is>
      </c>
      <c r="E14" s="22" t="n">
        <v>15560</v>
      </c>
      <c r="F14" s="46" t="n">
        <v>45107</v>
      </c>
      <c r="G14" s="23">
        <f>IF(E14&gt;=40000,15%,IF(E14&gt;=25000,10%,IF(E14&gt;=10000,5%,0%)))</f>
        <v>0.05</v>
      </c>
      <c r="H14" s="24">
        <f>E14*G14</f>
        <v>778</v>
      </c>
      <c r="I14" s="24">
        <f>E14-H14</f>
        <v>14782</v>
      </c>
      <c r="J14" s="20" t="str">
        <f>IF(OR(E14&gt;=25000,C14="West"),"Eligible","Not Eligible")</f>
        <v>Not Eligible</v>
      </c>
      <c r="K14" s="20" t="str">
        <f>TEXT(F14,"mmmm")</f>
        <v>June</v>
      </c>
      <c r="L14" s="20">
        <f>YEAR(F14)</f>
        <v>2023</v>
      </c>
      <c r="M14" s="20" t="str">
        <f>"Q"&amp;ROUNDUP(MONTH(F14)/3,0)</f>
        <v>Q2</v>
      </c>
      <c r="N14" s="48">
        <f>E14*$P$1</f>
        <v>2800.8</v>
      </c>
      <c r="O14" s="4" t="n"/>
      <c r="P14" s="4" t="n"/>
      <c r="Q14" s="4" t="n"/>
      <c r="R14" s="4" t="n"/>
      <c r="S14" s="4" t="n"/>
      <c r="T14" s="4" t="n"/>
      <c r="U14" s="4" t="n"/>
      <c r="V14" s="4" t="n"/>
      <c r="W14" s="4" t="n"/>
      <c r="X14" s="4" t="n"/>
      <c r="Y14" s="4" t="n"/>
      <c r="Z14" s="4" t="n"/>
    </row>
    <row r="15">
      <c r="A15" s="56" t="n">
        <v>2014</v>
      </c>
      <c r="B15" s="18" t="inlineStr">
        <is>
          <t>Laptop</t>
        </is>
      </c>
      <c r="C15" s="18" t="inlineStr">
        <is>
          <t>South</t>
        </is>
      </c>
      <c r="D15" s="18" t="inlineStr">
        <is>
          <t>Person 14</t>
        </is>
      </c>
      <c r="E15" s="22" t="n">
        <v>7283</v>
      </c>
      <c r="F15" s="46" t="n">
        <v>45122</v>
      </c>
      <c r="G15" s="23">
        <f>IF(E15&gt;=40000,15%,IF(E15&gt;=25000,10%,IF(E15&gt;=10000,5%,0%)))</f>
        <v>0</v>
      </c>
      <c r="H15" s="24">
        <f>E15*G15</f>
        <v>0</v>
      </c>
      <c r="I15" s="24">
        <f>E15-H15</f>
        <v>7283</v>
      </c>
      <c r="J15" s="20" t="str">
        <f>IF(OR(E15&gt;=25000,C15="West"),"Eligible","Not Eligible")</f>
        <v>Not Eligible</v>
      </c>
      <c r="K15" s="20" t="str">
        <f>TEXT(F15,"mmmm")</f>
        <v>July</v>
      </c>
      <c r="L15" s="20">
        <f>YEAR(F15)</f>
        <v>2023</v>
      </c>
      <c r="M15" s="20" t="str">
        <f>"Q"&amp;ROUNDUP(MONTH(F15)/3,0)</f>
        <v>Q3</v>
      </c>
      <c r="N15" s="48">
        <f>E15*$P$1</f>
        <v>1310.94</v>
      </c>
      <c r="O15" s="4" t="n"/>
      <c r="P15" s="4" t="n"/>
      <c r="Q15" s="4" t="n"/>
      <c r="R15" s="4" t="n"/>
      <c r="S15" s="4" t="n"/>
      <c r="T15" s="4" t="n"/>
      <c r="U15" s="4" t="n"/>
      <c r="V15" s="4" t="n"/>
      <c r="W15" s="4" t="n"/>
      <c r="X15" s="4" t="n"/>
      <c r="Y15" s="4" t="n"/>
      <c r="Z15" s="4" t="n"/>
    </row>
    <row r="16">
      <c r="A16" s="56" t="n">
        <v>2015</v>
      </c>
      <c r="B16" s="18" t="inlineStr">
        <is>
          <t>Laptop</t>
        </is>
      </c>
      <c r="C16" s="18" t="inlineStr">
        <is>
          <t>East</t>
        </is>
      </c>
      <c r="D16" s="18" t="inlineStr">
        <is>
          <t>Person 15</t>
        </is>
      </c>
      <c r="E16" s="22" t="n">
        <v>15678</v>
      </c>
      <c r="F16" s="46" t="n">
        <v>45137</v>
      </c>
      <c r="G16" s="23">
        <f>IF(E16&gt;=40000,15%,IF(E16&gt;=25000,10%,IF(E16&gt;=10000,5%,0%)))</f>
        <v>0.05</v>
      </c>
      <c r="H16" s="24">
        <f>E16*G16</f>
        <v>783.9</v>
      </c>
      <c r="I16" s="24">
        <f>E16-H16</f>
        <v>14894.1</v>
      </c>
      <c r="J16" s="20" t="str">
        <f>IF(OR(E16&gt;=25000,C16="West"),"Eligible","Not Eligible")</f>
        <v>Not Eligible</v>
      </c>
      <c r="K16" s="20" t="str">
        <f>TEXT(F16,"mmmm")</f>
        <v>July</v>
      </c>
      <c r="L16" s="20">
        <f>YEAR(F16)</f>
        <v>2023</v>
      </c>
      <c r="M16" s="20" t="str">
        <f>"Q"&amp;ROUNDUP(MONTH(F16)/3,0)</f>
        <v>Q3</v>
      </c>
      <c r="N16" s="48">
        <f>E16*$P$1</f>
        <v>2822.04</v>
      </c>
      <c r="O16" s="4" t="n"/>
      <c r="P16" s="4" t="n"/>
      <c r="Q16" s="4" t="n"/>
      <c r="R16" s="4" t="n"/>
      <c r="S16" s="4" t="n"/>
      <c r="T16" s="4" t="n"/>
      <c r="U16" s="4" t="n"/>
      <c r="V16" s="4" t="n"/>
      <c r="W16" s="4" t="n"/>
      <c r="X16" s="4" t="n"/>
      <c r="Y16" s="4" t="n"/>
      <c r="Z16" s="4" t="n"/>
    </row>
    <row r="17">
      <c r="A17" s="56" t="n">
        <v>2016</v>
      </c>
      <c r="B17" s="18" t="inlineStr">
        <is>
          <t>Mouse</t>
        </is>
      </c>
      <c r="C17" s="18" t="inlineStr">
        <is>
          <t>East</t>
        </is>
      </c>
      <c r="D17" s="18" t="inlineStr">
        <is>
          <t>Person 16</t>
        </is>
      </c>
      <c r="E17" s="22" t="n">
        <v>5277</v>
      </c>
      <c r="F17" s="46" t="n">
        <v>45152</v>
      </c>
      <c r="G17" s="23">
        <f>IF(E17&gt;=40000,15%,IF(E17&gt;=25000,10%,IF(E17&gt;=10000,5%,0%)))</f>
        <v>0</v>
      </c>
      <c r="H17" s="24">
        <f>E17*G17</f>
        <v>0</v>
      </c>
      <c r="I17" s="24">
        <f>E17-H17</f>
        <v>5277</v>
      </c>
      <c r="J17" s="20" t="str">
        <f>IF(OR(E17&gt;=25000,C17="West"),"Eligible","Not Eligible")</f>
        <v>Not Eligible</v>
      </c>
      <c r="K17" s="20" t="str">
        <f>TEXT(F17,"mmmm")</f>
        <v>August</v>
      </c>
      <c r="L17" s="20">
        <f>YEAR(F17)</f>
        <v>2023</v>
      </c>
      <c r="M17" s="20" t="str">
        <f>"Q"&amp;ROUNDUP(MONTH(F17)/3,0)</f>
        <v>Q3</v>
      </c>
      <c r="N17" s="48">
        <f>E17*$P$1</f>
        <v>949.86</v>
      </c>
      <c r="O17" s="4" t="n"/>
      <c r="P17" s="4" t="n"/>
      <c r="Q17" s="4" t="n"/>
      <c r="R17" s="4" t="n"/>
      <c r="S17" s="4" t="n"/>
      <c r="T17" s="4" t="n"/>
      <c r="U17" s="4" t="n"/>
      <c r="V17" s="4" t="n"/>
      <c r="W17" s="4" t="n"/>
      <c r="X17" s="4" t="n"/>
      <c r="Y17" s="4" t="n"/>
      <c r="Z17" s="4" t="n"/>
    </row>
    <row r="18">
      <c r="A18" s="56" t="n">
        <v>2017</v>
      </c>
      <c r="B18" s="18" t="inlineStr">
        <is>
          <t>Monitor</t>
        </is>
      </c>
      <c r="C18" s="18" t="inlineStr">
        <is>
          <t>North</t>
        </is>
      </c>
      <c r="D18" s="18" t="inlineStr">
        <is>
          <t>Person 17</t>
        </is>
      </c>
      <c r="E18" s="22" t="n">
        <v>41871</v>
      </c>
      <c r="F18" s="46" t="n">
        <v>45167</v>
      </c>
      <c r="G18" s="23">
        <f>IF(E18&gt;=40000,15%,IF(E18&gt;=25000,10%,IF(E18&gt;=10000,5%,0%)))</f>
        <v>0.15</v>
      </c>
      <c r="H18" s="24">
        <f>E18*G18</f>
        <v>6280.65</v>
      </c>
      <c r="I18" s="24">
        <f>E18-H18</f>
        <v>35590.35</v>
      </c>
      <c r="J18" s="20" t="str">
        <f>IF(OR(E18&gt;=25000,C18="West"),"Eligible","Not Eligible")</f>
        <v>Eligible</v>
      </c>
      <c r="K18" s="20" t="str">
        <f>TEXT(F18,"mmmm")</f>
        <v>August</v>
      </c>
      <c r="L18" s="20">
        <f>YEAR(F18)</f>
        <v>2023</v>
      </c>
      <c r="M18" s="20" t="str">
        <f>"Q"&amp;ROUNDUP(MONTH(F18)/3,0)</f>
        <v>Q3</v>
      </c>
      <c r="N18" s="48">
        <f>E18*$P$1</f>
        <v>7536.78</v>
      </c>
      <c r="O18" s="4" t="n"/>
      <c r="P18" s="4" t="n"/>
      <c r="Q18" s="4" t="n"/>
      <c r="R18" s="4" t="n"/>
      <c r="S18" s="4" t="n"/>
      <c r="T18" s="4" t="n"/>
      <c r="U18" s="4" t="n"/>
      <c r="V18" s="4" t="n"/>
      <c r="W18" s="4" t="n"/>
      <c r="X18" s="4" t="n"/>
      <c r="Y18" s="4" t="n"/>
      <c r="Z18" s="4" t="n"/>
    </row>
    <row r="19">
      <c r="A19" s="56" t="n">
        <v>2018</v>
      </c>
      <c r="B19" s="18" t="inlineStr">
        <is>
          <t>Monitor</t>
        </is>
      </c>
      <c r="C19" s="18" t="inlineStr">
        <is>
          <t>West</t>
        </is>
      </c>
      <c r="D19" s="18" t="inlineStr">
        <is>
          <t>Person 18</t>
        </is>
      </c>
      <c r="E19" s="22" t="n">
        <v>38161</v>
      </c>
      <c r="F19" s="46" t="n">
        <v>45182</v>
      </c>
      <c r="G19" s="23">
        <f>IF(E19&gt;=40000,15%,IF(E19&gt;=25000,10%,IF(E19&gt;=10000,5%,0%)))</f>
        <v>0.1</v>
      </c>
      <c r="H19" s="24">
        <f>E19*G19</f>
        <v>3816.1</v>
      </c>
      <c r="I19" s="24">
        <f>E19-H19</f>
        <v>34344.9</v>
      </c>
      <c r="J19" s="20" t="str">
        <f>IF(OR(E19&gt;=25000,C19="West"),"Eligible","Not Eligible")</f>
        <v>Eligible</v>
      </c>
      <c r="K19" s="20" t="str">
        <f>TEXT(F19,"mmmm")</f>
        <v>September</v>
      </c>
      <c r="L19" s="20">
        <f>YEAR(F19)</f>
        <v>2023</v>
      </c>
      <c r="M19" s="20" t="str">
        <f>"Q"&amp;ROUNDUP(MONTH(F19)/3,0)</f>
        <v>Q3</v>
      </c>
      <c r="N19" s="48">
        <f>E19*$P$1</f>
        <v>6868.98</v>
      </c>
      <c r="O19" s="4" t="n"/>
      <c r="P19" s="4" t="n"/>
      <c r="Q19" s="4" t="n"/>
      <c r="R19" s="4" t="n"/>
      <c r="S19" s="4" t="n"/>
      <c r="T19" s="4" t="n"/>
      <c r="U19" s="4" t="n"/>
      <c r="V19" s="4" t="n"/>
      <c r="W19" s="4" t="n"/>
      <c r="X19" s="4" t="n"/>
      <c r="Y19" s="4" t="n"/>
      <c r="Z19" s="4" t="n"/>
    </row>
    <row r="20">
      <c r="A20" s="56" t="n">
        <v>2019</v>
      </c>
      <c r="B20" s="18" t="inlineStr">
        <is>
          <t>Mouse</t>
        </is>
      </c>
      <c r="C20" s="18" t="inlineStr">
        <is>
          <t>West</t>
        </is>
      </c>
      <c r="D20" s="18" t="inlineStr">
        <is>
          <t>Person 19</t>
        </is>
      </c>
      <c r="E20" s="22" t="n">
        <v>30436</v>
      </c>
      <c r="F20" s="46" t="n">
        <v>45197</v>
      </c>
      <c r="G20" s="23">
        <f>IF(E20&gt;=40000,15%,IF(E20&gt;=25000,10%,IF(E20&gt;=10000,5%,0%)))</f>
        <v>0.1</v>
      </c>
      <c r="H20" s="24">
        <f>E20*G20</f>
        <v>3043.6</v>
      </c>
      <c r="I20" s="24">
        <f>E20-H20</f>
        <v>27392.4</v>
      </c>
      <c r="J20" s="20" t="str">
        <f>IF(OR(E20&gt;=25000,C20="West"),"Eligible","Not Eligible")</f>
        <v>Eligible</v>
      </c>
      <c r="K20" s="20" t="str">
        <f>TEXT(F20,"mmmm")</f>
        <v>September</v>
      </c>
      <c r="L20" s="20">
        <f>YEAR(F20)</f>
        <v>2023</v>
      </c>
      <c r="M20" s="20" t="str">
        <f>"Q"&amp;ROUNDUP(MONTH(F20)/3,0)</f>
        <v>Q3</v>
      </c>
      <c r="N20" s="48">
        <f>E20*$P$1</f>
        <v>5478.48</v>
      </c>
      <c r="O20" s="4" t="n"/>
      <c r="P20" s="4" t="n"/>
      <c r="Q20" s="4" t="n"/>
      <c r="R20" s="4" t="n"/>
      <c r="S20" s="4" t="n"/>
      <c r="T20" s="4" t="n"/>
      <c r="U20" s="4" t="n"/>
      <c r="V20" s="4" t="n"/>
      <c r="W20" s="4" t="n"/>
      <c r="X20" s="4" t="n"/>
      <c r="Y20" s="4" t="n"/>
      <c r="Z20" s="4" t="n"/>
    </row>
    <row r="21" ht="15.75" customHeight="1" s="12">
      <c r="A21" s="56" t="n">
        <v>2020</v>
      </c>
      <c r="B21" s="18" t="inlineStr">
        <is>
          <t>Printer</t>
        </is>
      </c>
      <c r="C21" s="18" t="inlineStr">
        <is>
          <t>West</t>
        </is>
      </c>
      <c r="D21" s="18" t="inlineStr">
        <is>
          <t>Person 20</t>
        </is>
      </c>
      <c r="E21" s="22" t="n">
        <v>33953</v>
      </c>
      <c r="F21" s="46" t="n">
        <v>45212</v>
      </c>
      <c r="G21" s="23">
        <f>IF(E21&gt;=40000,15%,IF(E21&gt;=25000,10%,IF(E21&gt;=10000,5%,0%)))</f>
        <v>0.1</v>
      </c>
      <c r="H21" s="24">
        <f>E21*G21</f>
        <v>3395.3</v>
      </c>
      <c r="I21" s="24">
        <f>E21-H21</f>
        <v>30557.7</v>
      </c>
      <c r="J21" s="20" t="str">
        <f>IF(OR(E21&gt;=25000,C21="West"),"Eligible","Not Eligible")</f>
        <v>Eligible</v>
      </c>
      <c r="K21" s="20" t="str">
        <f>TEXT(F21,"mmmm")</f>
        <v>October</v>
      </c>
      <c r="L21" s="20">
        <f>YEAR(F21)</f>
        <v>2023</v>
      </c>
      <c r="M21" s="20" t="str">
        <f>"Q"&amp;ROUNDUP(MONTH(F21)/3,0)</f>
        <v>Q4</v>
      </c>
      <c r="N21" s="48">
        <f>E21*$P$1</f>
        <v>6111.54</v>
      </c>
      <c r="O21" s="4" t="n"/>
      <c r="P21" s="4" t="n"/>
      <c r="Q21" s="4" t="n"/>
      <c r="R21" s="4" t="n"/>
      <c r="S21" s="4" t="n"/>
      <c r="T21" s="4" t="n"/>
      <c r="U21" s="4" t="n"/>
      <c r="V21" s="4" t="n"/>
      <c r="W21" s="4" t="n"/>
      <c r="X21" s="4" t="n"/>
      <c r="Y21" s="4" t="n"/>
      <c r="Z21" s="4" t="n"/>
    </row>
    <row r="22" ht="15.75" customHeight="1" s="1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2">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2">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2">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2">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2">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2">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2">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2">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2">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2">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2">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2">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2">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2">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2">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2">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2">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2">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2">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2">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2">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2">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2">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2">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2">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2">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2">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2">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2">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2">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2">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2">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2">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2">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2">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2">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2">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2">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2">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2">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2">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2">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2">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2">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2">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2">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2">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2">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2">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2">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2">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2">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2">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2">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2">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2">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2">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2">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2">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2">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2">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2">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2">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2">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2">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2">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2">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2">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2">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2">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2">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2">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2">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2">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2">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2">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2">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2">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2">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2">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2">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2">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2">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2">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2">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2">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2">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2">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2">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2">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2">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2">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autoFilter ref="A1:N21"/>
  <conditionalFormatting sqref="E2:E21">
    <cfRule type="colorScale" priority="1">
      <colorScale>
        <cfvo type="min"/>
        <cfvo type="percentile" val="50"/>
        <cfvo type="max"/>
        <color rgb="00F8696B"/>
        <color rgb="00FFEB84"/>
        <color rgb="0063BE7B"/>
      </colorScale>
    </cfRule>
  </conditionalFormatting>
  <pageMargins left="0.75" right="0.75" top="1" bottom="1" header="0" footer="0"/>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5B9BD5"/>
    <outlinePr summaryBelow="1" summaryRight="1"/>
    <pageSetUpPr fitToPage="1"/>
  </sheetPr>
  <dimension ref="A1:Y1000"/>
  <sheetViews>
    <sheetView workbookViewId="0">
      <pane ySplit="1" topLeftCell="A2" activePane="bottomLeft" state="frozen"/>
      <selection pane="bottomLeft" activeCell="A1" sqref="A1"/>
    </sheetView>
  </sheetViews>
  <sheetFormatPr baseColWidth="8" defaultColWidth="14.43" defaultRowHeight="15" customHeight="1"/>
  <cols>
    <col width="12" customWidth="1" style="12" min="1" max="1"/>
    <col width="16" customWidth="1" style="12" min="2" max="2"/>
    <col width="14" customWidth="1" style="12" min="3" max="3"/>
    <col width="14" customWidth="1" style="12" min="4" max="4"/>
    <col width="15" customWidth="1" style="12" min="5" max="5"/>
    <col width="15" customWidth="1" style="12" min="6" max="25"/>
    <col width="16" customWidth="1" style="12" min="7" max="7"/>
    <col width="18" customWidth="1" style="12" min="8" max="8"/>
    <col width="14" customWidth="1" style="12" min="9" max="9"/>
  </cols>
  <sheetData>
    <row r="1">
      <c r="A1" s="17" t="inlineStr">
        <is>
          <t>Employee ID</t>
        </is>
      </c>
      <c r="B1" s="17" t="inlineStr">
        <is>
          <t>Name</t>
        </is>
      </c>
      <c r="C1" s="17" t="inlineStr">
        <is>
          <t>Department</t>
        </is>
      </c>
      <c r="D1" s="17" t="inlineStr">
        <is>
          <t>Salary</t>
        </is>
      </c>
      <c r="E1" s="17" t="inlineStr">
        <is>
          <t>Joining Date</t>
        </is>
      </c>
      <c r="F1" s="17" t="inlineStr">
        <is>
          <t>Joining Year</t>
        </is>
      </c>
      <c r="G1" s="17" t="inlineStr">
        <is>
          <t>Joining Month</t>
        </is>
      </c>
      <c r="H1" s="17" t="inlineStr">
        <is>
          <t>Years of Service</t>
        </is>
      </c>
      <c r="I1" s="17" t="inlineStr">
        <is>
          <t>Salary Band</t>
        </is>
      </c>
      <c r="J1" s="4" t="n"/>
      <c r="K1" s="4" t="n"/>
      <c r="L1" s="4" t="n"/>
      <c r="M1" s="4" t="n"/>
      <c r="N1" s="4" t="n"/>
      <c r="O1" s="4" t="n"/>
      <c r="P1" s="4" t="n"/>
      <c r="Q1" s="4" t="n"/>
      <c r="R1" s="4" t="n"/>
      <c r="S1" s="4" t="n"/>
      <c r="T1" s="4" t="n"/>
      <c r="U1" s="4" t="n"/>
      <c r="V1" s="4" t="n"/>
      <c r="W1" s="4" t="n"/>
      <c r="X1" s="4" t="n"/>
      <c r="Y1" s="4" t="n"/>
    </row>
    <row r="2">
      <c r="A2" s="56" t="n">
        <v>3001</v>
      </c>
      <c r="B2" s="18" t="inlineStr">
        <is>
          <t>Employee 1</t>
        </is>
      </c>
      <c r="C2" s="18" t="inlineStr">
        <is>
          <t>Finance</t>
        </is>
      </c>
      <c r="D2" s="25" t="n">
        <v>86766</v>
      </c>
      <c r="E2" s="46" t="n">
        <v>42005</v>
      </c>
      <c r="F2" s="20">
        <f>YEAR(E2)</f>
        <v>2015</v>
      </c>
      <c r="G2" s="20" t="str">
        <f>TEXT(E2,"mmmm")</f>
        <v>January</v>
      </c>
      <c r="H2" s="20">
        <f>IF(E2&gt;TODAY(),0,DATEDIF(E2,TODAY(),"Y"))</f>
        <v>11</v>
      </c>
      <c r="I2" s="20" t="str">
        <f>IF(D2&gt;=100000,"High",IF(D2&gt;=60000,"Medium","Entry"))</f>
        <v>Medium</v>
      </c>
      <c r="J2" s="4" t="n"/>
      <c r="K2" s="4" t="n"/>
      <c r="L2" s="4" t="n"/>
      <c r="M2" s="4" t="n"/>
      <c r="N2" s="4" t="n"/>
      <c r="O2" s="4" t="n"/>
      <c r="P2" s="4" t="n"/>
      <c r="Q2" s="4" t="n"/>
      <c r="R2" s="4" t="n"/>
      <c r="S2" s="4" t="n"/>
      <c r="T2" s="4" t="n"/>
      <c r="U2" s="4" t="n"/>
      <c r="V2" s="4" t="n"/>
      <c r="W2" s="4" t="n"/>
      <c r="X2" s="4" t="n"/>
      <c r="Y2" s="4" t="n"/>
    </row>
    <row r="3">
      <c r="A3" s="56" t="n">
        <v>3002</v>
      </c>
      <c r="B3" s="18" t="inlineStr">
        <is>
          <t>Employee 2</t>
        </is>
      </c>
      <c r="C3" s="18" t="inlineStr">
        <is>
          <t>Finance</t>
        </is>
      </c>
      <c r="D3" s="25" t="n">
        <v>31943</v>
      </c>
      <c r="E3" s="46" t="n">
        <v>42255</v>
      </c>
      <c r="F3" s="20">
        <f>YEAR(E3)</f>
        <v>2015</v>
      </c>
      <c r="G3" s="20" t="str">
        <f>TEXT(E3,"mmmm")</f>
        <v>September</v>
      </c>
      <c r="H3" s="20">
        <f>IF(E3&gt;TODAY(),0,DATEDIF(E3,TODAY(),"Y"))</f>
        <v>11</v>
      </c>
      <c r="I3" s="20" t="str">
        <f>IF(D3&gt;=100000,"High",IF(D3&gt;=60000,"Medium","Entry"))</f>
        <v>Entry</v>
      </c>
      <c r="J3" s="4" t="n"/>
      <c r="K3" s="4" t="n"/>
      <c r="L3" s="4" t="n"/>
      <c r="M3" s="4" t="n"/>
      <c r="N3" s="4" t="n"/>
      <c r="O3" s="4" t="n"/>
      <c r="P3" s="4" t="n"/>
      <c r="Q3" s="4" t="n"/>
      <c r="R3" s="4" t="n"/>
      <c r="S3" s="4" t="n"/>
      <c r="T3" s="4" t="n"/>
      <c r="U3" s="4" t="n"/>
      <c r="V3" s="4" t="n"/>
      <c r="W3" s="4" t="n"/>
      <c r="X3" s="4" t="n"/>
      <c r="Y3" s="4" t="n"/>
    </row>
    <row r="4">
      <c r="A4" s="56" t="n">
        <v>3003</v>
      </c>
      <c r="B4" s="18" t="inlineStr">
        <is>
          <t>Employee 3</t>
        </is>
      </c>
      <c r="C4" s="18" t="inlineStr">
        <is>
          <t>HR</t>
        </is>
      </c>
      <c r="D4" s="25" t="n">
        <v>63374</v>
      </c>
      <c r="E4" s="46" t="n">
        <v>42505</v>
      </c>
      <c r="F4" s="20">
        <f>YEAR(E4)</f>
        <v>2016</v>
      </c>
      <c r="G4" s="20" t="str">
        <f>TEXT(E4,"mmmm")</f>
        <v>May</v>
      </c>
      <c r="H4" s="20">
        <f>IF(E4&gt;TODAY(),0,DATEDIF(E4,TODAY(),"Y"))</f>
        <v>10</v>
      </c>
      <c r="I4" s="20" t="str">
        <f>IF(D4&gt;=100000,"High",IF(D4&gt;=60000,"Medium","Entry"))</f>
        <v>Medium</v>
      </c>
      <c r="J4" s="4" t="n"/>
      <c r="K4" s="4" t="n"/>
      <c r="L4" s="4" t="n"/>
      <c r="M4" s="4" t="n"/>
      <c r="N4" s="4" t="n"/>
      <c r="O4" s="4" t="n"/>
      <c r="P4" s="4" t="n"/>
      <c r="Q4" s="4" t="n"/>
      <c r="R4" s="4" t="n"/>
      <c r="S4" s="4" t="n"/>
      <c r="T4" s="4" t="n"/>
      <c r="U4" s="4" t="n"/>
      <c r="V4" s="4" t="n"/>
      <c r="W4" s="4" t="n"/>
      <c r="X4" s="4" t="n"/>
      <c r="Y4" s="4" t="n"/>
    </row>
    <row r="5">
      <c r="A5" s="56" t="n">
        <v>3004</v>
      </c>
      <c r="B5" s="18" t="inlineStr">
        <is>
          <t>Employee 4</t>
        </is>
      </c>
      <c r="C5" s="18" t="inlineStr">
        <is>
          <t>Finance</t>
        </is>
      </c>
      <c r="D5" s="25" t="n">
        <v>109972</v>
      </c>
      <c r="E5" s="46" t="n">
        <v>42755</v>
      </c>
      <c r="F5" s="20">
        <f>YEAR(E5)</f>
        <v>2017</v>
      </c>
      <c r="G5" s="20" t="str">
        <f>TEXT(E5,"mmmm")</f>
        <v>January</v>
      </c>
      <c r="H5" s="20">
        <f>IF(E5&gt;TODAY(),0,DATEDIF(E5,TODAY(),"Y"))</f>
        <v>9</v>
      </c>
      <c r="I5" s="20" t="str">
        <f>IF(D5&gt;=100000,"High",IF(D5&gt;=60000,"Medium","Entry"))</f>
        <v>High</v>
      </c>
      <c r="J5" s="4" t="n"/>
      <c r="K5" s="4" t="n"/>
      <c r="L5" s="4" t="n"/>
      <c r="M5" s="4" t="n"/>
      <c r="N5" s="4" t="n"/>
      <c r="O5" s="4" t="n"/>
      <c r="P5" s="4" t="n"/>
      <c r="Q5" s="4" t="n"/>
      <c r="R5" s="4" t="n"/>
      <c r="S5" s="4" t="n"/>
      <c r="T5" s="4" t="n"/>
      <c r="U5" s="4" t="n"/>
      <c r="V5" s="4" t="n"/>
      <c r="W5" s="4" t="n"/>
      <c r="X5" s="4" t="n"/>
      <c r="Y5" s="4" t="n"/>
    </row>
    <row r="6">
      <c r="A6" s="56" t="n">
        <v>3005</v>
      </c>
      <c r="B6" s="18" t="inlineStr">
        <is>
          <t>Employee 5</t>
        </is>
      </c>
      <c r="C6" s="18" t="inlineStr">
        <is>
          <t>IT</t>
        </is>
      </c>
      <c r="D6" s="25" t="n">
        <v>54149</v>
      </c>
      <c r="E6" s="46" t="n">
        <v>43005</v>
      </c>
      <c r="F6" s="20">
        <f>YEAR(E6)</f>
        <v>2017</v>
      </c>
      <c r="G6" s="20" t="str">
        <f>TEXT(E6,"mmmm")</f>
        <v>September</v>
      </c>
      <c r="H6" s="20">
        <f>IF(E6&gt;TODAY(),0,DATEDIF(E6,TODAY(),"Y"))</f>
        <v>9</v>
      </c>
      <c r="I6" s="20" t="str">
        <f>IF(D6&gt;=100000,"High",IF(D6&gt;=60000,"Medium","Entry"))</f>
        <v>Entry</v>
      </c>
      <c r="J6" s="4" t="n"/>
      <c r="K6" s="4" t="n"/>
      <c r="L6" s="4" t="n"/>
      <c r="M6" s="4" t="n"/>
      <c r="N6" s="4" t="n"/>
      <c r="O6" s="4" t="n"/>
      <c r="P6" s="4" t="n"/>
      <c r="Q6" s="4" t="n"/>
      <c r="R6" s="4" t="n"/>
      <c r="S6" s="4" t="n"/>
      <c r="T6" s="4" t="n"/>
      <c r="U6" s="4" t="n"/>
      <c r="V6" s="4" t="n"/>
      <c r="W6" s="4" t="n"/>
      <c r="X6" s="4" t="n"/>
      <c r="Y6" s="4" t="n"/>
    </row>
    <row r="7">
      <c r="A7" s="56" t="n">
        <v>3006</v>
      </c>
      <c r="B7" s="18" t="inlineStr">
        <is>
          <t>Employee 6</t>
        </is>
      </c>
      <c r="C7" s="18" t="inlineStr">
        <is>
          <t>IT</t>
        </is>
      </c>
      <c r="D7" s="25" t="n">
        <v>78689</v>
      </c>
      <c r="E7" s="46" t="n">
        <v>43255</v>
      </c>
      <c r="F7" s="20">
        <f>YEAR(E7)</f>
        <v>2018</v>
      </c>
      <c r="G7" s="20" t="str">
        <f>TEXT(E7,"mmmm")</f>
        <v>June</v>
      </c>
      <c r="H7" s="20">
        <f>IF(E7&gt;TODAY(),0,DATEDIF(E7,TODAY(),"Y"))</f>
        <v>8</v>
      </c>
      <c r="I7" s="20" t="str">
        <f>IF(D7&gt;=100000,"High",IF(D7&gt;=60000,"Medium","Entry"))</f>
        <v>Medium</v>
      </c>
      <c r="J7" s="4" t="n"/>
      <c r="K7" s="4" t="n"/>
      <c r="L7" s="4" t="n"/>
      <c r="M7" s="4" t="n"/>
      <c r="N7" s="4" t="n"/>
      <c r="O7" s="4" t="n"/>
      <c r="P7" s="4" t="n"/>
      <c r="Q7" s="4" t="n"/>
      <c r="R7" s="4" t="n"/>
      <c r="S7" s="4" t="n"/>
      <c r="T7" s="4" t="n"/>
      <c r="U7" s="4" t="n"/>
      <c r="V7" s="4" t="n"/>
      <c r="W7" s="4" t="n"/>
      <c r="X7" s="4" t="n"/>
      <c r="Y7" s="4" t="n"/>
    </row>
    <row r="8">
      <c r="A8" s="56" t="n">
        <v>3007</v>
      </c>
      <c r="B8" s="18" t="inlineStr">
        <is>
          <t>Employee 7</t>
        </is>
      </c>
      <c r="C8" s="18" t="inlineStr">
        <is>
          <t>Marketing</t>
        </is>
      </c>
      <c r="D8" s="25" t="n">
        <v>35960</v>
      </c>
      <c r="E8" s="46" t="n">
        <v>43505</v>
      </c>
      <c r="F8" s="20">
        <f>YEAR(E8)</f>
        <v>2019</v>
      </c>
      <c r="G8" s="20" t="str">
        <f>TEXT(E8,"mmmm")</f>
        <v>February</v>
      </c>
      <c r="H8" s="20">
        <f>IF(E8&gt;TODAY(),0,DATEDIF(E8,TODAY(),"Y"))</f>
        <v>7</v>
      </c>
      <c r="I8" s="20" t="str">
        <f>IF(D8&gt;=100000,"High",IF(D8&gt;=60000,"Medium","Entry"))</f>
        <v>Entry</v>
      </c>
      <c r="J8" s="4" t="n"/>
      <c r="K8" s="4" t="n"/>
      <c r="L8" s="4" t="n"/>
      <c r="M8" s="4" t="n"/>
      <c r="N8" s="4" t="n"/>
      <c r="O8" s="4" t="n"/>
      <c r="P8" s="4" t="n"/>
      <c r="Q8" s="4" t="n"/>
      <c r="R8" s="4" t="n"/>
      <c r="S8" s="4" t="n"/>
      <c r="T8" s="4" t="n"/>
      <c r="U8" s="4" t="n"/>
      <c r="V8" s="4" t="n"/>
      <c r="W8" s="4" t="n"/>
      <c r="X8" s="4" t="n"/>
      <c r="Y8" s="4" t="n"/>
    </row>
    <row r="9">
      <c r="A9" s="56" t="n">
        <v>3008</v>
      </c>
      <c r="B9" s="18" t="inlineStr">
        <is>
          <t>Employee 8</t>
        </is>
      </c>
      <c r="C9" s="18" t="inlineStr">
        <is>
          <t>IT</t>
        </is>
      </c>
      <c r="D9" s="25" t="n">
        <v>91659</v>
      </c>
      <c r="E9" s="46" t="n">
        <v>43755</v>
      </c>
      <c r="F9" s="20">
        <f>YEAR(E9)</f>
        <v>2019</v>
      </c>
      <c r="G9" s="20" t="str">
        <f>TEXT(E9,"mmmm")</f>
        <v>October</v>
      </c>
      <c r="H9" s="20">
        <f>IF(E9&gt;TODAY(),0,DATEDIF(E9,TODAY(),"Y"))</f>
        <v>6</v>
      </c>
      <c r="I9" s="20" t="str">
        <f>IF(D9&gt;=100000,"High",IF(D9&gt;=60000,"Medium","Entry"))</f>
        <v>Medium</v>
      </c>
      <c r="J9" s="4" t="n"/>
      <c r="K9" s="4" t="n"/>
      <c r="L9" s="4" t="n"/>
      <c r="M9" s="4" t="n"/>
      <c r="N9" s="4" t="n"/>
      <c r="O9" s="4" t="n"/>
      <c r="P9" s="4" t="n"/>
      <c r="Q9" s="4" t="n"/>
      <c r="R9" s="4" t="n"/>
      <c r="S9" s="4" t="n"/>
      <c r="T9" s="4" t="n"/>
      <c r="U9" s="4" t="n"/>
      <c r="V9" s="4" t="n"/>
      <c r="W9" s="4" t="n"/>
      <c r="X9" s="4" t="n"/>
      <c r="Y9" s="4" t="n"/>
    </row>
    <row r="10">
      <c r="A10" s="56" t="n">
        <v>3009</v>
      </c>
      <c r="B10" s="18" t="inlineStr">
        <is>
          <t>Employee 9</t>
        </is>
      </c>
      <c r="C10" s="18" t="inlineStr">
        <is>
          <t>IT</t>
        </is>
      </c>
      <c r="D10" s="25" t="n">
        <v>90423</v>
      </c>
      <c r="E10" s="46" t="n">
        <v>44005</v>
      </c>
      <c r="F10" s="20">
        <f>YEAR(E10)</f>
        <v>2020</v>
      </c>
      <c r="G10" s="20" t="str">
        <f>TEXT(E10,"mmmm")</f>
        <v>June</v>
      </c>
      <c r="H10" s="20">
        <f>IF(E10&gt;TODAY(),0,DATEDIF(E10,TODAY(),"Y"))</f>
        <v>6</v>
      </c>
      <c r="I10" s="20" t="str">
        <f>IF(D10&gt;=100000,"High",IF(D10&gt;=60000,"Medium","Entry"))</f>
        <v>Medium</v>
      </c>
      <c r="J10" s="4" t="n"/>
      <c r="K10" s="4" t="n"/>
      <c r="L10" s="4" t="n"/>
      <c r="M10" s="4" t="n"/>
      <c r="N10" s="4" t="n"/>
      <c r="O10" s="4" t="n"/>
      <c r="P10" s="4" t="n"/>
      <c r="Q10" s="4" t="n"/>
      <c r="R10" s="4" t="n"/>
      <c r="S10" s="4" t="n"/>
      <c r="T10" s="4" t="n"/>
      <c r="U10" s="4" t="n"/>
      <c r="V10" s="4" t="n"/>
      <c r="W10" s="4" t="n"/>
      <c r="X10" s="4" t="n"/>
      <c r="Y10" s="4" t="n"/>
    </row>
    <row r="11">
      <c r="A11" s="56" t="n">
        <v>3010</v>
      </c>
      <c r="B11" s="18" t="inlineStr">
        <is>
          <t>Employee 10</t>
        </is>
      </c>
      <c r="C11" s="18" t="inlineStr">
        <is>
          <t>HR</t>
        </is>
      </c>
      <c r="D11" s="25" t="n">
        <v>107877</v>
      </c>
      <c r="E11" s="46" t="n">
        <v>44255</v>
      </c>
      <c r="F11" s="20">
        <f>YEAR(E11)</f>
        <v>2021</v>
      </c>
      <c r="G11" s="20" t="str">
        <f>TEXT(E11,"mmmm")</f>
        <v>February</v>
      </c>
      <c r="H11" s="20">
        <f>IF(E11&gt;TODAY(),0,DATEDIF(E11,TODAY(),"Y"))</f>
        <v>5</v>
      </c>
      <c r="I11" s="20" t="str">
        <f>IF(D11&gt;=100000,"High",IF(D11&gt;=60000,"Medium","Entry"))</f>
        <v>High</v>
      </c>
      <c r="J11" s="4" t="n"/>
      <c r="K11" s="4" t="n"/>
      <c r="L11" s="4" t="n"/>
      <c r="M11" s="4" t="n"/>
      <c r="N11" s="4" t="n"/>
      <c r="O11" s="4" t="n"/>
      <c r="P11" s="4" t="n"/>
      <c r="Q11" s="4" t="n"/>
      <c r="R11" s="4" t="n"/>
      <c r="S11" s="4" t="n"/>
      <c r="T11" s="4" t="n"/>
      <c r="U11" s="4" t="n"/>
      <c r="V11" s="4" t="n"/>
      <c r="W11" s="4" t="n"/>
      <c r="X11" s="4" t="n"/>
      <c r="Y11" s="4" t="n"/>
    </row>
    <row r="12">
      <c r="A12" s="56" t="n">
        <v>3011</v>
      </c>
      <c r="B12" s="18" t="inlineStr">
        <is>
          <t>Employee 11</t>
        </is>
      </c>
      <c r="C12" s="18" t="inlineStr">
        <is>
          <t>Finance</t>
        </is>
      </c>
      <c r="D12" s="25" t="n">
        <v>107634</v>
      </c>
      <c r="E12" s="46" t="n">
        <v>44505</v>
      </c>
      <c r="F12" s="20">
        <f>YEAR(E12)</f>
        <v>2021</v>
      </c>
      <c r="G12" s="20" t="str">
        <f>TEXT(E12,"mmmm")</f>
        <v>November</v>
      </c>
      <c r="H12" s="20">
        <f>IF(E12&gt;TODAY(),0,DATEDIF(E12,TODAY(),"Y"))</f>
        <v>4</v>
      </c>
      <c r="I12" s="20" t="str">
        <f>IF(D12&gt;=100000,"High",IF(D12&gt;=60000,"Medium","Entry"))</f>
        <v>High</v>
      </c>
      <c r="J12" s="4" t="n"/>
      <c r="K12" s="4" t="n"/>
      <c r="L12" s="4" t="n"/>
      <c r="M12" s="4" t="n"/>
      <c r="N12" s="4" t="n"/>
      <c r="O12" s="4" t="n"/>
      <c r="P12" s="4" t="n"/>
      <c r="Q12" s="4" t="n"/>
      <c r="R12" s="4" t="n"/>
      <c r="S12" s="4" t="n"/>
      <c r="T12" s="4" t="n"/>
      <c r="U12" s="4" t="n"/>
      <c r="V12" s="4" t="n"/>
      <c r="W12" s="4" t="n"/>
      <c r="X12" s="4" t="n"/>
      <c r="Y12" s="4" t="n"/>
    </row>
    <row r="13">
      <c r="A13" s="56" t="n">
        <v>3012</v>
      </c>
      <c r="B13" s="18" t="inlineStr">
        <is>
          <t>Employee 12</t>
        </is>
      </c>
      <c r="C13" s="18" t="inlineStr">
        <is>
          <t>Finance</t>
        </is>
      </c>
      <c r="D13" s="25" t="n">
        <v>35226</v>
      </c>
      <c r="E13" s="46" t="n">
        <v>44755</v>
      </c>
      <c r="F13" s="20">
        <f>YEAR(E13)</f>
        <v>2022</v>
      </c>
      <c r="G13" s="20" t="str">
        <f>TEXT(E13,"mmmm")</f>
        <v>July</v>
      </c>
      <c r="H13" s="20">
        <f>IF(E13&gt;TODAY(),0,DATEDIF(E13,TODAY(),"Y"))</f>
        <v>4</v>
      </c>
      <c r="I13" s="20" t="str">
        <f>IF(D13&gt;=100000,"High",IF(D13&gt;=60000,"Medium","Entry"))</f>
        <v>Entry</v>
      </c>
      <c r="J13" s="4" t="n"/>
      <c r="K13" s="4" t="n"/>
      <c r="L13" s="4" t="n"/>
      <c r="M13" s="4" t="n"/>
      <c r="N13" s="4" t="n"/>
      <c r="O13" s="4" t="n"/>
      <c r="P13" s="4" t="n"/>
      <c r="Q13" s="4" t="n"/>
      <c r="R13" s="4" t="n"/>
      <c r="S13" s="4" t="n"/>
      <c r="T13" s="4" t="n"/>
      <c r="U13" s="4" t="n"/>
      <c r="V13" s="4" t="n"/>
      <c r="W13" s="4" t="n"/>
      <c r="X13" s="4" t="n"/>
      <c r="Y13" s="4" t="n"/>
    </row>
    <row r="14">
      <c r="A14" s="56" t="n">
        <v>3013</v>
      </c>
      <c r="B14" s="18" t="inlineStr">
        <is>
          <t>Employee 13</t>
        </is>
      </c>
      <c r="C14" s="18" t="inlineStr">
        <is>
          <t>HR</t>
        </is>
      </c>
      <c r="D14" s="25" t="n">
        <v>40872</v>
      </c>
      <c r="E14" s="46" t="n">
        <v>45005</v>
      </c>
      <c r="F14" s="20">
        <f>YEAR(E14)</f>
        <v>2023</v>
      </c>
      <c r="G14" s="20" t="str">
        <f>TEXT(E14,"mmmm")</f>
        <v>March</v>
      </c>
      <c r="H14" s="20">
        <f>IF(E14&gt;TODAY(),0,DATEDIF(E14,TODAY(),"Y"))</f>
        <v>3</v>
      </c>
      <c r="I14" s="20" t="str">
        <f>IF(D14&gt;=100000,"High",IF(D14&gt;=60000,"Medium","Entry"))</f>
        <v>Entry</v>
      </c>
      <c r="J14" s="4" t="n"/>
      <c r="K14" s="4" t="n"/>
      <c r="L14" s="4" t="n"/>
      <c r="M14" s="4" t="n"/>
      <c r="N14" s="4" t="n"/>
      <c r="O14" s="4" t="n"/>
      <c r="P14" s="4" t="n"/>
      <c r="Q14" s="4" t="n"/>
      <c r="R14" s="4" t="n"/>
      <c r="S14" s="4" t="n"/>
      <c r="T14" s="4" t="n"/>
      <c r="U14" s="4" t="n"/>
      <c r="V14" s="4" t="n"/>
      <c r="W14" s="4" t="n"/>
      <c r="X14" s="4" t="n"/>
      <c r="Y14" s="4" t="n"/>
    </row>
    <row r="15">
      <c r="A15" s="56" t="n">
        <v>3014</v>
      </c>
      <c r="B15" s="18" t="inlineStr">
        <is>
          <t>Employee 14</t>
        </is>
      </c>
      <c r="C15" s="18" t="inlineStr">
        <is>
          <t>HR</t>
        </is>
      </c>
      <c r="D15" s="25" t="n">
        <v>55378</v>
      </c>
      <c r="E15" s="46" t="n">
        <v>45255</v>
      </c>
      <c r="F15" s="20">
        <f>YEAR(E15)</f>
        <v>2023</v>
      </c>
      <c r="G15" s="20" t="str">
        <f>TEXT(E15,"mmmm")</f>
        <v>November</v>
      </c>
      <c r="H15" s="20">
        <f>IF(E15&gt;TODAY(),0,DATEDIF(E15,TODAY(),"Y"))</f>
        <v>2</v>
      </c>
      <c r="I15" s="20" t="str">
        <f>IF(D15&gt;=100000,"High",IF(D15&gt;=60000,"Medium","Entry"))</f>
        <v>Entry</v>
      </c>
      <c r="J15" s="4" t="n"/>
      <c r="K15" s="4" t="n"/>
      <c r="L15" s="4" t="n"/>
      <c r="M15" s="4" t="n"/>
      <c r="N15" s="4" t="n"/>
      <c r="O15" s="4" t="n"/>
      <c r="P15" s="4" t="n"/>
      <c r="Q15" s="4" t="n"/>
      <c r="R15" s="4" t="n"/>
      <c r="S15" s="4" t="n"/>
      <c r="T15" s="4" t="n"/>
      <c r="U15" s="4" t="n"/>
      <c r="V15" s="4" t="n"/>
      <c r="W15" s="4" t="n"/>
      <c r="X15" s="4" t="n"/>
      <c r="Y15" s="4" t="n"/>
    </row>
    <row r="16">
      <c r="A16" s="56" t="n">
        <v>3015</v>
      </c>
      <c r="B16" s="18" t="inlineStr">
        <is>
          <t>Employee 15</t>
        </is>
      </c>
      <c r="C16" s="18" t="inlineStr">
        <is>
          <t>HR</t>
        </is>
      </c>
      <c r="D16" s="25" t="n">
        <v>63297</v>
      </c>
      <c r="E16" s="46" t="n">
        <v>45505</v>
      </c>
      <c r="F16" s="20">
        <f>YEAR(E16)</f>
        <v>2024</v>
      </c>
      <c r="G16" s="20" t="str">
        <f>TEXT(E16,"mmmm")</f>
        <v>August</v>
      </c>
      <c r="H16" s="20">
        <f>IF(E16&gt;TODAY(),0,DATEDIF(E16,TODAY(),"Y"))</f>
        <v>2</v>
      </c>
      <c r="I16" s="20" t="str">
        <f>IF(D16&gt;=100000,"High",IF(D16&gt;=60000,"Medium","Entry"))</f>
        <v>Medium</v>
      </c>
      <c r="J16" s="4" t="n"/>
      <c r="K16" s="4" t="n"/>
      <c r="L16" s="4" t="n"/>
      <c r="M16" s="4" t="n"/>
      <c r="N16" s="4" t="n"/>
      <c r="O16" s="4" t="n"/>
      <c r="P16" s="4" t="n"/>
      <c r="Q16" s="4" t="n"/>
      <c r="R16" s="4" t="n"/>
      <c r="S16" s="4" t="n"/>
      <c r="T16" s="4" t="n"/>
      <c r="U16" s="4" t="n"/>
      <c r="V16" s="4" t="n"/>
      <c r="W16" s="4" t="n"/>
      <c r="X16" s="4" t="n"/>
      <c r="Y16" s="4" t="n"/>
    </row>
    <row r="17">
      <c r="A17" s="56" t="n">
        <v>3016</v>
      </c>
      <c r="B17" s="18" t="inlineStr">
        <is>
          <t>Employee 16</t>
        </is>
      </c>
      <c r="C17" s="18" t="inlineStr">
        <is>
          <t>Finance</t>
        </is>
      </c>
      <c r="D17" s="25" t="n">
        <v>114173</v>
      </c>
      <c r="E17" s="46" t="n">
        <v>45755</v>
      </c>
      <c r="F17" s="20">
        <f>YEAR(E17)</f>
        <v>2025</v>
      </c>
      <c r="G17" s="20" t="str">
        <f>TEXT(E17,"mmmm")</f>
        <v>April</v>
      </c>
      <c r="H17" s="20">
        <f>IF(E17&gt;TODAY(),0,DATEDIF(E17,TODAY(),"Y"))</f>
        <v>1</v>
      </c>
      <c r="I17" s="20" t="str">
        <f>IF(D17&gt;=100000,"High",IF(D17&gt;=60000,"Medium","Entry"))</f>
        <v>High</v>
      </c>
      <c r="J17" s="4" t="n"/>
      <c r="K17" s="4" t="n"/>
      <c r="L17" s="4" t="n"/>
      <c r="M17" s="4" t="n"/>
      <c r="N17" s="4" t="n"/>
      <c r="O17" s="4" t="n"/>
      <c r="P17" s="4" t="n"/>
      <c r="Q17" s="4" t="n"/>
      <c r="R17" s="4" t="n"/>
      <c r="S17" s="4" t="n"/>
      <c r="T17" s="4" t="n"/>
      <c r="U17" s="4" t="n"/>
      <c r="V17" s="4" t="n"/>
      <c r="W17" s="4" t="n"/>
      <c r="X17" s="4" t="n"/>
      <c r="Y17" s="4" t="n"/>
    </row>
    <row r="18">
      <c r="A18" s="56" t="n">
        <v>3017</v>
      </c>
      <c r="B18" s="18" t="inlineStr">
        <is>
          <t>Employee 17</t>
        </is>
      </c>
      <c r="C18" s="18" t="inlineStr">
        <is>
          <t>HR</t>
        </is>
      </c>
      <c r="D18" s="25" t="n">
        <v>86915</v>
      </c>
      <c r="E18" s="46" t="n">
        <v>46005</v>
      </c>
      <c r="F18" s="20">
        <f>YEAR(E18)</f>
        <v>2025</v>
      </c>
      <c r="G18" s="20" t="str">
        <f>TEXT(E18,"mmmm")</f>
        <v>December</v>
      </c>
      <c r="H18" s="20">
        <f>IF(E18&gt;TODAY(),0,DATEDIF(E18,TODAY(),"Y"))</f>
        <v>0</v>
      </c>
      <c r="I18" s="20" t="str">
        <f>IF(D18&gt;=100000,"High",IF(D18&gt;=60000,"Medium","Entry"))</f>
        <v>Medium</v>
      </c>
      <c r="J18" s="4" t="n"/>
      <c r="K18" s="4" t="n"/>
      <c r="L18" s="4" t="n"/>
      <c r="M18" s="4" t="n"/>
      <c r="N18" s="4" t="n"/>
      <c r="O18" s="4" t="n"/>
      <c r="P18" s="4" t="n"/>
      <c r="Q18" s="4" t="n"/>
      <c r="R18" s="4" t="n"/>
      <c r="S18" s="4" t="n"/>
      <c r="T18" s="4" t="n"/>
      <c r="U18" s="4" t="n"/>
      <c r="V18" s="4" t="n"/>
      <c r="W18" s="4" t="n"/>
      <c r="X18" s="4" t="n"/>
      <c r="Y18" s="4" t="n"/>
    </row>
    <row r="19">
      <c r="A19" s="56" t="n">
        <v>3018</v>
      </c>
      <c r="B19" s="18" t="inlineStr">
        <is>
          <t>Employee 18</t>
        </is>
      </c>
      <c r="C19" s="18" t="inlineStr">
        <is>
          <t>IT</t>
        </is>
      </c>
      <c r="D19" s="25" t="n">
        <v>116284</v>
      </c>
      <c r="E19" s="46" t="n">
        <v>46255</v>
      </c>
      <c r="F19" s="20">
        <f>YEAR(E19)</f>
        <v>2026</v>
      </c>
      <c r="G19" s="20" t="str">
        <f>TEXT(E19,"mmmm")</f>
        <v>August</v>
      </c>
      <c r="H19" s="20">
        <f>IF(E19&gt;TODAY(),0,DATEDIF(E19,TODAY(),"Y"))</f>
        <v>0</v>
      </c>
      <c r="I19" s="20" t="str">
        <f>IF(D19&gt;=100000,"High",IF(D19&gt;=60000,"Medium","Entry"))</f>
        <v>High</v>
      </c>
      <c r="J19" s="4" t="n"/>
      <c r="K19" s="4" t="n"/>
      <c r="L19" s="4" t="n"/>
      <c r="M19" s="4" t="n"/>
      <c r="N19" s="4" t="n"/>
      <c r="O19" s="4" t="n"/>
      <c r="P19" s="4" t="n"/>
      <c r="Q19" s="4" t="n"/>
      <c r="R19" s="4" t="n"/>
      <c r="S19" s="4" t="n"/>
      <c r="T19" s="4" t="n"/>
      <c r="U19" s="4" t="n"/>
      <c r="V19" s="4" t="n"/>
      <c r="W19" s="4" t="n"/>
      <c r="X19" s="4" t="n"/>
      <c r="Y19" s="4" t="n"/>
    </row>
    <row r="20">
      <c r="A20" s="56" t="n">
        <v>3019</v>
      </c>
      <c r="B20" s="18" t="inlineStr">
        <is>
          <t>Employee 19</t>
        </is>
      </c>
      <c r="C20" s="18" t="inlineStr">
        <is>
          <t>Marketing</t>
        </is>
      </c>
      <c r="D20" s="25" t="n">
        <v>116283</v>
      </c>
      <c r="E20" s="46" t="n">
        <v>46505</v>
      </c>
      <c r="F20" s="20">
        <f>YEAR(E20)</f>
        <v>2027</v>
      </c>
      <c r="G20" s="20" t="str">
        <f>TEXT(E20,"mmmm")</f>
        <v>April</v>
      </c>
      <c r="H20" s="20">
        <f>IF(E20&gt;TODAY(),0,DATEDIF(E20,TODAY(),"Y"))</f>
        <v>0</v>
      </c>
      <c r="I20" s="20" t="str">
        <f>IF(D20&gt;=100000,"High",IF(D20&gt;=60000,"Medium","Entry"))</f>
        <v>High</v>
      </c>
      <c r="J20" s="4" t="n"/>
      <c r="K20" s="4" t="n"/>
      <c r="L20" s="4" t="n"/>
      <c r="M20" s="4" t="n"/>
      <c r="N20" s="4" t="n"/>
      <c r="O20" s="4" t="n"/>
      <c r="P20" s="4" t="n"/>
      <c r="Q20" s="4" t="n"/>
      <c r="R20" s="4" t="n"/>
      <c r="S20" s="4" t="n"/>
      <c r="T20" s="4" t="n"/>
      <c r="U20" s="4" t="n"/>
      <c r="V20" s="4" t="n"/>
      <c r="W20" s="4" t="n"/>
      <c r="X20" s="4" t="n"/>
      <c r="Y20" s="4" t="n"/>
    </row>
    <row r="21" ht="15.75" customHeight="1" s="12">
      <c r="A21" s="56" t="n">
        <v>3020</v>
      </c>
      <c r="B21" s="18" t="inlineStr">
        <is>
          <t>Employee 20</t>
        </is>
      </c>
      <c r="C21" s="18" t="inlineStr">
        <is>
          <t>Marketing</t>
        </is>
      </c>
      <c r="D21" s="25" t="n">
        <v>99924</v>
      </c>
      <c r="E21" s="46" t="n">
        <v>46755</v>
      </c>
      <c r="F21" s="20">
        <f>YEAR(E21)</f>
        <v>2028</v>
      </c>
      <c r="G21" s="20" t="str">
        <f>TEXT(E21,"mmmm")</f>
        <v>January</v>
      </c>
      <c r="H21" s="20">
        <f>IF(E21&gt;TODAY(),0,DATEDIF(E21,TODAY(),"Y"))</f>
        <v>0</v>
      </c>
      <c r="I21" s="20" t="str">
        <f>IF(D21&gt;=100000,"High",IF(D21&gt;=60000,"Medium","Entry"))</f>
        <v>Medium</v>
      </c>
      <c r="J21" s="4" t="n"/>
      <c r="K21" s="4" t="n"/>
      <c r="L21" s="4" t="n"/>
      <c r="M21" s="4" t="n"/>
      <c r="N21" s="4" t="n"/>
      <c r="O21" s="4" t="n"/>
      <c r="P21" s="4" t="n"/>
      <c r="Q21" s="4" t="n"/>
      <c r="R21" s="4" t="n"/>
      <c r="S21" s="4" t="n"/>
      <c r="T21" s="4" t="n"/>
      <c r="U21" s="4" t="n"/>
      <c r="V21" s="4" t="n"/>
      <c r="W21" s="4" t="n"/>
      <c r="X21" s="4" t="n"/>
      <c r="Y21" s="4" t="n"/>
    </row>
    <row r="22" ht="15.75" customHeight="1" s="1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2">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2">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2">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2">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2">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2">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2">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2">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2">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2">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2">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2">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2">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2">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2">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2">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2">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2">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2">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2">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2">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2">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2">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2">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2">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2">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2">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2">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2">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2">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2">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2">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2">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2">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2">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2">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2">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2">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2">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2">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2">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2">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2">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2">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2">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2">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2">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2">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2">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2">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2">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2">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2">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2">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2">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2">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2">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2">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2">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2">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2">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2">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2">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2">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2">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2">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2">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2">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2">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2">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2">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2">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2">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2">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2">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2">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2">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2">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2">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2">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2">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2">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2">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2">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2">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2">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2">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2">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2">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2">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2">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2">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2">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2">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2">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2">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2">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2">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2">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2">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2">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2">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2">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2">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2">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2">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2">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2">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2">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2">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2">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2">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2">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2">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2">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2">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2">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2">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2">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2">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2">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2">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2">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2">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2">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2">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2">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2">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2">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2">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2">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2">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2">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2">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2">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2">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2">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2">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2">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2">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2">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2">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2">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2">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2">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2">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2">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2">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2">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2">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2">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2">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2">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2">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2">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2">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2">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2">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2">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2">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2">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2">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2">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2">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2">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2">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2">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2">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2">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2">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2">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2">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2">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2">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2">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2">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2">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2">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2">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2">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row>
    <row r="222" ht="15.75" customHeight="1" s="1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row>
    <row r="223" ht="15.75" customHeight="1" s="12">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row>
    <row r="224" ht="15.75" customHeight="1" s="12">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row>
    <row r="225" ht="15.75" customHeight="1" s="12">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row>
    <row r="226" ht="15.75" customHeight="1" s="12">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row>
    <row r="227" ht="15.75" customHeight="1" s="12">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row>
    <row r="228" ht="15.75" customHeight="1" s="12">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row>
    <row r="229" ht="15.75" customHeight="1" s="12">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row>
    <row r="230" ht="15.75" customHeight="1" s="12">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row>
    <row r="231" ht="15.75" customHeight="1" s="12">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row>
    <row r="232" ht="15.75" customHeight="1" s="1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row>
    <row r="233" ht="15.75" customHeight="1" s="12">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row>
    <row r="234" ht="15.75" customHeight="1" s="12">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row>
    <row r="235" ht="15.75" customHeight="1" s="12">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row>
    <row r="236" ht="15.75" customHeight="1" s="12">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row>
    <row r="237" ht="15.75" customHeight="1" s="12">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row>
    <row r="238" ht="15.75" customHeight="1" s="12">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row>
    <row r="239" ht="15.75" customHeight="1" s="12">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row>
    <row r="240" ht="15.75" customHeight="1" s="12">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row>
    <row r="241" ht="15.75" customHeight="1" s="12">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row>
    <row r="242" ht="15.75" customHeight="1" s="1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row>
    <row r="243" ht="15.75" customHeight="1" s="12">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row>
    <row r="244" ht="15.75" customHeight="1" s="12">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row>
    <row r="245" ht="15.75" customHeight="1" s="12">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row>
    <row r="246" ht="15.75" customHeight="1" s="12">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row>
    <row r="247" ht="15.75" customHeight="1" s="12">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row>
    <row r="248" ht="15.75" customHeight="1" s="12">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row>
    <row r="249" ht="15.75" customHeight="1" s="12">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row>
    <row r="250" ht="15.75" customHeight="1" s="12">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row>
    <row r="251" ht="15.75" customHeight="1" s="12">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row>
    <row r="252" ht="15.75" customHeight="1" s="1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row>
    <row r="253" ht="15.75" customHeight="1" s="12">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row>
    <row r="254" ht="15.75" customHeight="1" s="12">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row>
    <row r="255" ht="15.75" customHeight="1" s="12">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row>
    <row r="256" ht="15.75" customHeight="1" s="12">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row>
    <row r="257" ht="15.75" customHeight="1" s="12">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row>
    <row r="258" ht="15.75" customHeight="1" s="12">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row>
    <row r="259" ht="15.75" customHeight="1" s="12">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row>
    <row r="260" ht="15.75" customHeight="1" s="12">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row>
    <row r="261" ht="15.75" customHeight="1" s="12">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row>
    <row r="262" ht="15.75" customHeight="1" s="1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row>
    <row r="263" ht="15.75" customHeight="1" s="12">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row>
    <row r="264" ht="15.75" customHeight="1" s="12">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row>
    <row r="265" ht="15.75" customHeight="1" s="12">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row>
    <row r="266" ht="15.75" customHeight="1" s="12">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row>
    <row r="267" ht="15.75" customHeight="1" s="12">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row>
    <row r="268" ht="15.75" customHeight="1" s="12">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row>
    <row r="269" ht="15.75" customHeight="1" s="12">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row>
    <row r="270" ht="15.75" customHeight="1" s="12">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row>
    <row r="271" ht="15.75" customHeight="1" s="12">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row>
    <row r="272" ht="15.75" customHeight="1" s="1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row>
    <row r="273" ht="15.75" customHeight="1" s="12">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row>
    <row r="274" ht="15.75" customHeight="1" s="12">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row>
    <row r="275" ht="15.75" customHeight="1" s="12">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row>
    <row r="276" ht="15.75" customHeight="1" s="12">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row>
    <row r="277" ht="15.75" customHeight="1" s="12">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row>
    <row r="278" ht="15.75" customHeight="1" s="12">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row>
    <row r="279" ht="15.75" customHeight="1" s="12">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row>
    <row r="280" ht="15.75" customHeight="1" s="12">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row>
    <row r="281" ht="15.75" customHeight="1" s="12">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row>
    <row r="282" ht="15.75" customHeight="1" s="1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row>
    <row r="283" ht="15.75" customHeight="1" s="12">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row>
    <row r="284" ht="15.75" customHeight="1" s="12">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row>
    <row r="285" ht="15.75" customHeight="1" s="12">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row>
    <row r="286" ht="15.75" customHeight="1" s="12">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row>
    <row r="287" ht="15.75" customHeight="1" s="12">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row>
    <row r="288" ht="15.75" customHeight="1" s="12">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row>
    <row r="289" ht="15.75" customHeight="1" s="12">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row>
    <row r="290" ht="15.75" customHeight="1" s="12">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row>
    <row r="291" ht="15.75" customHeight="1" s="12">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row>
    <row r="292" ht="15.75" customHeight="1" s="1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row>
    <row r="293" ht="15.75" customHeight="1" s="12">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row>
    <row r="294" ht="15.75" customHeight="1" s="12">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row>
    <row r="295" ht="15.75" customHeight="1" s="12">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row>
    <row r="296" ht="15.75" customHeight="1" s="12">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row>
    <row r="297" ht="15.75" customHeight="1" s="12">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row>
    <row r="298" ht="15.75" customHeight="1" s="12">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row>
    <row r="299" ht="15.75" customHeight="1" s="12">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row>
    <row r="300" ht="15.75" customHeight="1" s="12">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row>
    <row r="301" ht="15.75" customHeight="1" s="12">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row>
    <row r="302" ht="15.75" customHeight="1" s="1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row>
    <row r="303" ht="15.75" customHeight="1" s="12">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row>
    <row r="304" ht="15.75" customHeight="1" s="12">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row>
    <row r="305" ht="15.75" customHeight="1" s="12">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row>
    <row r="306" ht="15.75" customHeight="1" s="12">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row>
    <row r="307" ht="15.75" customHeight="1" s="12">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row>
    <row r="308" ht="15.75" customHeight="1" s="12">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row>
    <row r="309" ht="15.75" customHeight="1" s="12">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row>
    <row r="310" ht="15.75" customHeight="1" s="12">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row>
    <row r="311" ht="15.75" customHeight="1" s="12">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row>
    <row r="312" ht="15.75" customHeight="1" s="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row>
    <row r="313" ht="15.75" customHeight="1" s="12">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row>
    <row r="314" ht="15.75" customHeight="1" s="12">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row>
    <row r="315" ht="15.75" customHeight="1" s="12">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row>
    <row r="316" ht="15.75" customHeight="1" s="12">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row>
    <row r="317" ht="15.75" customHeight="1" s="12">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row>
    <row r="318" ht="15.75" customHeight="1" s="12">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row>
    <row r="319" ht="15.75" customHeight="1" s="12">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row>
    <row r="320" ht="15.75" customHeight="1" s="12">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row>
    <row r="321" ht="15.75" customHeight="1" s="12">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row>
    <row r="322" ht="15.75" customHeight="1" s="1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row>
    <row r="323" ht="15.75" customHeight="1" s="12">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row>
    <row r="324" ht="15.75" customHeight="1" s="12">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row>
    <row r="325" ht="15.75" customHeight="1" s="12">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row>
    <row r="326" ht="15.75" customHeight="1" s="12">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row>
    <row r="327" ht="15.75" customHeight="1" s="12">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row>
    <row r="328" ht="15.75" customHeight="1" s="12">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row>
    <row r="329" ht="15.75" customHeight="1" s="12">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row>
    <row r="330" ht="15.75" customHeight="1" s="12">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row>
    <row r="331" ht="15.75" customHeight="1" s="12">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row>
    <row r="332" ht="15.75" customHeight="1" s="1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row>
    <row r="333" ht="15.75" customHeight="1" s="12">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row>
    <row r="334" ht="15.75" customHeight="1" s="12">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row>
    <row r="335" ht="15.75" customHeight="1" s="12">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row>
    <row r="336" ht="15.75" customHeight="1" s="12">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row>
    <row r="337" ht="15.75" customHeight="1" s="12">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row>
    <row r="338" ht="15.75" customHeight="1" s="12">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row>
    <row r="339" ht="15.75" customHeight="1" s="12">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row>
    <row r="340" ht="15.75" customHeight="1" s="12">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row>
    <row r="341" ht="15.75" customHeight="1" s="12">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row>
    <row r="342" ht="15.75" customHeight="1" s="1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row>
    <row r="343" ht="15.75" customHeight="1" s="12">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row>
    <row r="344" ht="15.75" customHeight="1" s="12">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row>
    <row r="345" ht="15.75" customHeight="1" s="12">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row>
    <row r="346" ht="15.75" customHeight="1" s="12">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row>
    <row r="347" ht="15.75" customHeight="1" s="12">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row>
    <row r="348" ht="15.75" customHeight="1" s="12">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row>
    <row r="349" ht="15.75" customHeight="1" s="12">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row>
    <row r="350" ht="15.75" customHeight="1" s="12">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row>
    <row r="351" ht="15.75" customHeight="1" s="12">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row>
    <row r="352" ht="15.75" customHeight="1" s="1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row>
    <row r="353" ht="15.75" customHeight="1" s="12">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row>
    <row r="354" ht="15.75" customHeight="1" s="12">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row>
    <row r="355" ht="15.75" customHeight="1" s="12">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row>
    <row r="356" ht="15.75" customHeight="1" s="12">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row>
    <row r="357" ht="15.75" customHeight="1" s="12">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row>
    <row r="358" ht="15.75" customHeight="1" s="12">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row>
    <row r="359" ht="15.75" customHeight="1" s="12">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row>
    <row r="360" ht="15.75" customHeight="1" s="12">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row>
    <row r="361" ht="15.75" customHeight="1" s="12">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row>
    <row r="362" ht="15.75" customHeight="1" s="1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row>
    <row r="363" ht="15.75" customHeight="1" s="12">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row>
    <row r="364" ht="15.75" customHeight="1" s="12">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row>
    <row r="365" ht="15.75" customHeight="1" s="12">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row>
    <row r="366" ht="15.75" customHeight="1" s="12">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row>
    <row r="367" ht="15.75" customHeight="1" s="12">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row>
    <row r="368" ht="15.75" customHeight="1" s="12">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row>
    <row r="369" ht="15.75" customHeight="1" s="12">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row>
    <row r="370" ht="15.75" customHeight="1" s="12">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row>
    <row r="371" ht="15.75" customHeight="1" s="12">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row>
    <row r="372" ht="15.75" customHeight="1" s="1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row>
    <row r="373" ht="15.75" customHeight="1" s="12">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row>
    <row r="374" ht="15.75" customHeight="1" s="12">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row>
    <row r="375" ht="15.75" customHeight="1" s="12">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row>
    <row r="376" ht="15.75" customHeight="1" s="12">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row>
    <row r="377" ht="15.75" customHeight="1" s="12">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row>
    <row r="378" ht="15.75" customHeight="1" s="12">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row>
    <row r="379" ht="15.75" customHeight="1" s="12">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row>
    <row r="380" ht="15.75" customHeight="1" s="12">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row>
    <row r="381" ht="15.75" customHeight="1" s="12">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row>
    <row r="382" ht="15.75" customHeight="1" s="1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row>
    <row r="383" ht="15.75" customHeight="1" s="12">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row>
    <row r="384" ht="15.75" customHeight="1" s="12">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row>
    <row r="385" ht="15.75" customHeight="1" s="12">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row>
    <row r="386" ht="15.75" customHeight="1" s="12">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row>
    <row r="387" ht="15.75" customHeight="1" s="12">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row>
    <row r="388" ht="15.75" customHeight="1" s="12">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row>
    <row r="389" ht="15.75" customHeight="1" s="12">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row>
    <row r="390" ht="15.75" customHeight="1" s="12">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row>
    <row r="391" ht="15.75" customHeight="1" s="12">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row>
    <row r="392" ht="15.75" customHeight="1" s="1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row>
    <row r="393" ht="15.75" customHeight="1" s="12">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row>
    <row r="394" ht="15.75" customHeight="1" s="12">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row>
    <row r="395" ht="15.75" customHeight="1" s="12">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row>
    <row r="396" ht="15.75" customHeight="1" s="12">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row>
    <row r="397" ht="15.75" customHeight="1" s="12">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row>
    <row r="398" ht="15.75" customHeight="1" s="12">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row>
    <row r="399" ht="15.75" customHeight="1" s="12">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row>
    <row r="400" ht="15.75" customHeight="1" s="12">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row>
    <row r="401" ht="15.75" customHeight="1" s="12">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row>
    <row r="402" ht="15.75" customHeight="1" s="1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row>
    <row r="403" ht="15.75" customHeight="1" s="12">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row>
    <row r="404" ht="15.75" customHeight="1" s="12">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row>
    <row r="405" ht="15.75" customHeight="1" s="12">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row>
    <row r="406" ht="15.75" customHeight="1" s="12">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row>
    <row r="407" ht="15.75" customHeight="1" s="12">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row>
    <row r="408" ht="15.75" customHeight="1" s="12">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row>
    <row r="409" ht="15.75" customHeight="1" s="12">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row>
    <row r="410" ht="15.75" customHeight="1" s="12">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row>
    <row r="411" ht="15.75" customHeight="1" s="12">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row>
    <row r="412" ht="15.75" customHeight="1" s="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row>
    <row r="413" ht="15.75" customHeight="1" s="12">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row>
    <row r="414" ht="15.75" customHeight="1" s="12">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row>
    <row r="415" ht="15.75" customHeight="1" s="12">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row>
    <row r="416" ht="15.75" customHeight="1" s="12">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row>
    <row r="417" ht="15.75" customHeight="1" s="12">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row>
    <row r="418" ht="15.75" customHeight="1" s="12">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row>
    <row r="419" ht="15.75" customHeight="1" s="12">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row>
    <row r="420" ht="15.75" customHeight="1" s="12">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row>
    <row r="421" ht="15.75" customHeight="1" s="12">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row>
    <row r="422" ht="15.75" customHeight="1" s="1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row>
    <row r="423" ht="15.75" customHeight="1" s="12">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row>
    <row r="424" ht="15.75" customHeight="1" s="12">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row>
    <row r="425" ht="15.75" customHeight="1" s="12">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row>
    <row r="426" ht="15.75" customHeight="1" s="12">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row>
    <row r="427" ht="15.75" customHeight="1" s="12">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row>
    <row r="428" ht="15.75" customHeight="1" s="12">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row>
    <row r="429" ht="15.75" customHeight="1" s="12">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row>
    <row r="430" ht="15.75" customHeight="1" s="12">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row>
    <row r="431" ht="15.75" customHeight="1" s="12">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row>
    <row r="432" ht="15.75" customHeight="1" s="1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row>
    <row r="433" ht="15.75" customHeight="1" s="12">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row>
    <row r="434" ht="15.75" customHeight="1" s="12">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row>
    <row r="435" ht="15.75" customHeight="1" s="12">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row>
    <row r="436" ht="15.75" customHeight="1" s="12">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row>
    <row r="437" ht="15.75" customHeight="1" s="12">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row>
    <row r="438" ht="15.75" customHeight="1" s="12">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row>
    <row r="439" ht="15.75" customHeight="1" s="12">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row>
    <row r="440" ht="15.75" customHeight="1" s="12">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row>
    <row r="441" ht="15.75" customHeight="1" s="12">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row>
    <row r="442" ht="15.75" customHeight="1" s="1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row>
    <row r="443" ht="15.75" customHeight="1" s="12">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row>
    <row r="444" ht="15.75" customHeight="1" s="12">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row>
    <row r="445" ht="15.75" customHeight="1" s="12">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row>
    <row r="446" ht="15.75" customHeight="1" s="12">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row>
    <row r="447" ht="15.75" customHeight="1" s="12">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row>
    <row r="448" ht="15.75" customHeight="1" s="12">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row>
    <row r="449" ht="15.75" customHeight="1" s="12">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row>
    <row r="450" ht="15.75" customHeight="1" s="12">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row>
    <row r="451" ht="15.75" customHeight="1" s="12">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row>
    <row r="452" ht="15.75" customHeight="1" s="1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row>
    <row r="453" ht="15.75" customHeight="1" s="12">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row>
    <row r="454" ht="15.75" customHeight="1" s="12">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row>
    <row r="455" ht="15.75" customHeight="1" s="12">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row>
    <row r="456" ht="15.75" customHeight="1" s="12">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row>
    <row r="457" ht="15.75" customHeight="1" s="12">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row>
    <row r="458" ht="15.75" customHeight="1" s="12">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row>
    <row r="459" ht="15.75" customHeight="1" s="12">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row>
    <row r="460" ht="15.75" customHeight="1" s="12">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row>
    <row r="461" ht="15.75" customHeight="1" s="12">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row>
    <row r="462" ht="15.75" customHeight="1" s="1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row>
    <row r="463" ht="15.75" customHeight="1" s="12">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row>
    <row r="464" ht="15.75" customHeight="1" s="12">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row>
    <row r="465" ht="15.75" customHeight="1" s="12">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row>
    <row r="466" ht="15.75" customHeight="1" s="12">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row>
    <row r="467" ht="15.75" customHeight="1" s="12">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row>
    <row r="468" ht="15.75" customHeight="1" s="12">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row>
    <row r="469" ht="15.75" customHeight="1" s="12">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row>
    <row r="470" ht="15.75" customHeight="1" s="12">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row>
    <row r="471" ht="15.75" customHeight="1" s="12">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row>
    <row r="472" ht="15.75" customHeight="1" s="1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row>
    <row r="473" ht="15.75" customHeight="1" s="12">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row>
    <row r="474" ht="15.75" customHeight="1" s="12">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row>
    <row r="475" ht="15.75" customHeight="1" s="12">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row>
    <row r="476" ht="15.75" customHeight="1" s="12">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row>
    <row r="477" ht="15.75" customHeight="1" s="12">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row>
    <row r="478" ht="15.75" customHeight="1" s="12">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row>
    <row r="479" ht="15.75" customHeight="1" s="12">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row>
    <row r="480" ht="15.75" customHeight="1" s="12">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row>
    <row r="481" ht="15.75" customHeight="1" s="12">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row>
    <row r="482" ht="15.75" customHeight="1" s="1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row>
    <row r="483" ht="15.75" customHeight="1" s="12">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row>
    <row r="484" ht="15.75" customHeight="1" s="12">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row>
    <row r="485" ht="15.75" customHeight="1" s="12">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row>
    <row r="486" ht="15.75" customHeight="1" s="12">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row>
    <row r="487" ht="15.75" customHeight="1" s="12">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row>
    <row r="488" ht="15.75" customHeight="1" s="12">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row>
    <row r="489" ht="15.75" customHeight="1" s="12">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row>
    <row r="490" ht="15.75" customHeight="1" s="12">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row>
    <row r="491" ht="15.75" customHeight="1" s="12">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row>
    <row r="492" ht="15.75" customHeight="1" s="1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row>
    <row r="493" ht="15.75" customHeight="1" s="12">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row>
    <row r="494" ht="15.75" customHeight="1" s="12">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row>
    <row r="495" ht="15.75" customHeight="1" s="12">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row>
    <row r="496" ht="15.75" customHeight="1" s="12">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row>
    <row r="497" ht="15.75" customHeight="1" s="12">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row>
    <row r="498" ht="15.75" customHeight="1" s="12">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row>
    <row r="499" ht="15.75" customHeight="1" s="12">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row>
    <row r="500" ht="15.75" customHeight="1" s="12">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row>
    <row r="501" ht="15.75" customHeight="1" s="12">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row>
    <row r="502" ht="15.75" customHeight="1" s="1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row>
    <row r="503" ht="15.75" customHeight="1" s="12">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row>
    <row r="504" ht="15.75" customHeight="1" s="12">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row>
    <row r="505" ht="15.75" customHeight="1" s="12">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row>
    <row r="506" ht="15.75" customHeight="1" s="12">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row>
    <row r="507" ht="15.75" customHeight="1" s="12">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row>
    <row r="508" ht="15.75" customHeight="1" s="12">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row>
    <row r="509" ht="15.75" customHeight="1" s="12">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row>
    <row r="510" ht="15.75" customHeight="1" s="12">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row>
    <row r="511" ht="15.75" customHeight="1" s="12">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row>
    <row r="512" ht="15.75" customHeight="1" s="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row>
    <row r="513" ht="15.75" customHeight="1" s="12">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row>
    <row r="514" ht="15.75" customHeight="1" s="12">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row>
    <row r="515" ht="15.75" customHeight="1" s="12">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row>
    <row r="516" ht="15.75" customHeight="1" s="12">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row>
    <row r="517" ht="15.75" customHeight="1" s="12">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row>
    <row r="518" ht="15.75" customHeight="1" s="12">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row>
    <row r="519" ht="15.75" customHeight="1" s="12">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row>
    <row r="520" ht="15.75" customHeight="1" s="12">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row>
    <row r="521" ht="15.75" customHeight="1" s="12">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row>
    <row r="522" ht="15.75" customHeight="1" s="1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row>
    <row r="523" ht="15.75" customHeight="1" s="12">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row>
    <row r="524" ht="15.75" customHeight="1" s="12">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row>
    <row r="525" ht="15.75" customHeight="1" s="12">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row>
    <row r="526" ht="15.75" customHeight="1" s="12">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row>
    <row r="527" ht="15.75" customHeight="1" s="12">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row>
    <row r="528" ht="15.75" customHeight="1" s="12">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row>
    <row r="529" ht="15.75" customHeight="1" s="12">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row>
    <row r="530" ht="15.75" customHeight="1" s="12">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row>
    <row r="531" ht="15.75" customHeight="1" s="12">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row>
    <row r="532" ht="15.75" customHeight="1" s="1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row>
    <row r="533" ht="15.75" customHeight="1" s="12">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row>
    <row r="534" ht="15.75" customHeight="1" s="12">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row>
    <row r="535" ht="15.75" customHeight="1" s="12">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row>
    <row r="536" ht="15.75" customHeight="1" s="12">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row>
    <row r="537" ht="15.75" customHeight="1" s="12">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row>
    <row r="538" ht="15.75" customHeight="1" s="12">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row>
    <row r="539" ht="15.75" customHeight="1" s="12">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row>
    <row r="540" ht="15.75" customHeight="1" s="12">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row>
    <row r="541" ht="15.75" customHeight="1" s="12">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row>
    <row r="542" ht="15.75" customHeight="1" s="1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row>
    <row r="543" ht="15.75" customHeight="1" s="12">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row>
    <row r="544" ht="15.75" customHeight="1" s="12">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row>
    <row r="545" ht="15.75" customHeight="1" s="12">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row>
    <row r="546" ht="15.75" customHeight="1" s="12">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row>
    <row r="547" ht="15.75" customHeight="1" s="12">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row>
    <row r="548" ht="15.75" customHeight="1" s="12">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row>
    <row r="549" ht="15.75" customHeight="1" s="12">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row>
    <row r="550" ht="15.75" customHeight="1" s="12">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row>
    <row r="551" ht="15.75" customHeight="1" s="12">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row>
    <row r="552" ht="15.75" customHeight="1" s="1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row>
    <row r="553" ht="15.75" customHeight="1" s="12">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row>
    <row r="554" ht="15.75" customHeight="1" s="12">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row>
    <row r="555" ht="15.75" customHeight="1" s="12">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row>
    <row r="556" ht="15.75" customHeight="1" s="12">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row>
    <row r="557" ht="15.75" customHeight="1" s="12">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row>
    <row r="558" ht="15.75" customHeight="1" s="12">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row>
    <row r="559" ht="15.75" customHeight="1" s="12">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row>
    <row r="560" ht="15.75" customHeight="1" s="12">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row>
    <row r="561" ht="15.75" customHeight="1" s="12">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row>
    <row r="562" ht="15.75" customHeight="1" s="1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row>
    <row r="563" ht="15.75" customHeight="1" s="12">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row>
    <row r="564" ht="15.75" customHeight="1" s="12">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row>
    <row r="565" ht="15.75" customHeight="1" s="12">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row>
    <row r="566" ht="15.75" customHeight="1" s="12">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row>
    <row r="567" ht="15.75" customHeight="1" s="12">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row>
    <row r="568" ht="15.75" customHeight="1" s="12">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row>
    <row r="569" ht="15.75" customHeight="1" s="12">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row>
    <row r="570" ht="15.75" customHeight="1" s="12">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row>
    <row r="571" ht="15.75" customHeight="1" s="12">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row>
    <row r="572" ht="15.75" customHeight="1" s="1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row>
    <row r="573" ht="15.75" customHeight="1" s="12">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row>
    <row r="574" ht="15.75" customHeight="1" s="12">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row>
    <row r="575" ht="15.75" customHeight="1" s="12">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row>
    <row r="576" ht="15.75" customHeight="1" s="12">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row>
    <row r="577" ht="15.75" customHeight="1" s="12">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row>
    <row r="578" ht="15.75" customHeight="1" s="12">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row>
    <row r="579" ht="15.75" customHeight="1" s="12">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row>
    <row r="580" ht="15.75" customHeight="1" s="12">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row>
    <row r="581" ht="15.75" customHeight="1" s="12">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row>
    <row r="582" ht="15.75" customHeight="1" s="1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row>
    <row r="583" ht="15.75" customHeight="1" s="12">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row>
    <row r="584" ht="15.75" customHeight="1" s="12">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row>
    <row r="585" ht="15.75" customHeight="1" s="12">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row>
    <row r="586" ht="15.75" customHeight="1" s="12">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row>
    <row r="587" ht="15.75" customHeight="1" s="12">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row>
    <row r="588" ht="15.75" customHeight="1" s="12">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row>
    <row r="589" ht="15.75" customHeight="1" s="12">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row>
    <row r="590" ht="15.75" customHeight="1" s="12">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row>
    <row r="591" ht="15.75" customHeight="1" s="12">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row>
    <row r="592" ht="15.75" customHeight="1" s="1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row>
    <row r="593" ht="15.75" customHeight="1" s="12">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row>
    <row r="594" ht="15.75" customHeight="1" s="12">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row>
    <row r="595" ht="15.75" customHeight="1" s="12">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row>
    <row r="596" ht="15.75" customHeight="1" s="12">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row>
    <row r="597" ht="15.75" customHeight="1" s="12">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row>
    <row r="598" ht="15.75" customHeight="1" s="12">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row>
    <row r="599" ht="15.75" customHeight="1" s="12">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row>
    <row r="600" ht="15.75" customHeight="1" s="12">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row>
    <row r="601" ht="15.75" customHeight="1" s="12">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row>
    <row r="602" ht="15.75" customHeight="1" s="1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row>
    <row r="603" ht="15.75" customHeight="1" s="12">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row>
    <row r="604" ht="15.75" customHeight="1" s="12">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row>
    <row r="605" ht="15.75" customHeight="1" s="12">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row>
    <row r="606" ht="15.75" customHeight="1" s="12">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row>
    <row r="607" ht="15.75" customHeight="1" s="12">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row>
    <row r="608" ht="15.75" customHeight="1" s="12">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row>
    <row r="609" ht="15.75" customHeight="1" s="12">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row>
    <row r="610" ht="15.75" customHeight="1" s="12">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row>
    <row r="611" ht="15.75" customHeight="1" s="12">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row>
    <row r="612" ht="15.75" customHeight="1" s="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row>
    <row r="613" ht="15.75" customHeight="1" s="12">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row>
    <row r="614" ht="15.75" customHeight="1" s="12">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row>
    <row r="615" ht="15.75" customHeight="1" s="12">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row>
    <row r="616" ht="15.75" customHeight="1" s="12">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row>
    <row r="617" ht="15.75" customHeight="1" s="12">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row>
    <row r="618" ht="15.75" customHeight="1" s="12">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row>
    <row r="619" ht="15.75" customHeight="1" s="12">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row>
    <row r="620" ht="15.75" customHeight="1" s="12">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row>
    <row r="621" ht="15.75" customHeight="1" s="12">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row>
    <row r="622" ht="15.75" customHeight="1" s="1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row>
    <row r="623" ht="15.75" customHeight="1" s="12">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row>
    <row r="624" ht="15.75" customHeight="1" s="12">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row>
    <row r="625" ht="15.75" customHeight="1" s="12">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row>
    <row r="626" ht="15.75" customHeight="1" s="12">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row>
    <row r="627" ht="15.75" customHeight="1" s="12">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row>
    <row r="628" ht="15.75" customHeight="1" s="12">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row>
    <row r="629" ht="15.75" customHeight="1" s="12">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row>
    <row r="630" ht="15.75" customHeight="1" s="12">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row>
    <row r="631" ht="15.75" customHeight="1" s="12">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row>
    <row r="632" ht="15.75" customHeight="1" s="1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row>
    <row r="633" ht="15.75" customHeight="1" s="12">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row>
    <row r="634" ht="15.75" customHeight="1" s="12">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row>
    <row r="635" ht="15.75" customHeight="1" s="12">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row>
    <row r="636" ht="15.75" customHeight="1" s="12">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row>
    <row r="637" ht="15.75" customHeight="1" s="12">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row>
    <row r="638" ht="15.75" customHeight="1" s="12">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row>
    <row r="639" ht="15.75" customHeight="1" s="12">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row>
    <row r="640" ht="15.75" customHeight="1" s="12">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row>
    <row r="641" ht="15.75" customHeight="1" s="12">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row>
    <row r="642" ht="15.75" customHeight="1" s="1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row>
    <row r="643" ht="15.75" customHeight="1" s="12">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row>
    <row r="644" ht="15.75" customHeight="1" s="12">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row>
    <row r="645" ht="15.75" customHeight="1" s="12">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row>
    <row r="646" ht="15.75" customHeight="1" s="12">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row>
    <row r="647" ht="15.75" customHeight="1" s="12">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row>
    <row r="648" ht="15.75" customHeight="1" s="12">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row>
    <row r="649" ht="15.75" customHeight="1" s="12">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row>
    <row r="650" ht="15.75" customHeight="1" s="12">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row>
    <row r="651" ht="15.75" customHeight="1" s="12">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row>
    <row r="652" ht="15.75" customHeight="1" s="1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row>
    <row r="653" ht="15.75" customHeight="1" s="12">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row>
    <row r="654" ht="15.75" customHeight="1" s="12">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row>
    <row r="655" ht="15.75" customHeight="1" s="12">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row>
    <row r="656" ht="15.75" customHeight="1" s="12">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row>
    <row r="657" ht="15.75" customHeight="1" s="12">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row>
    <row r="658" ht="15.75" customHeight="1" s="12">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row>
    <row r="659" ht="15.75" customHeight="1" s="12">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row>
    <row r="660" ht="15.75" customHeight="1" s="12">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row>
    <row r="661" ht="15.75" customHeight="1" s="12">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row>
    <row r="662" ht="15.75" customHeight="1" s="1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row>
    <row r="663" ht="15.75" customHeight="1" s="12">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row>
    <row r="664" ht="15.75" customHeight="1" s="12">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row>
    <row r="665" ht="15.75" customHeight="1" s="12">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row>
    <row r="666" ht="15.75" customHeight="1" s="12">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row>
    <row r="667" ht="15.75" customHeight="1" s="12">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row>
    <row r="668" ht="15.75" customHeight="1" s="12">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row>
    <row r="669" ht="15.75" customHeight="1" s="12">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row>
    <row r="670" ht="15.75" customHeight="1" s="12">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row>
    <row r="671" ht="15.75" customHeight="1" s="12">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row>
    <row r="672" ht="15.75" customHeight="1" s="1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row>
    <row r="673" ht="15.75" customHeight="1" s="12">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row>
    <row r="674" ht="15.75" customHeight="1" s="12">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row>
    <row r="675" ht="15.75" customHeight="1" s="12">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row>
    <row r="676" ht="15.75" customHeight="1" s="12">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row>
    <row r="677" ht="15.75" customHeight="1" s="12">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row>
    <row r="678" ht="15.75" customHeight="1" s="12">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row>
    <row r="679" ht="15.75" customHeight="1" s="12">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row>
    <row r="680" ht="15.75" customHeight="1" s="12">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row>
    <row r="681" ht="15.75" customHeight="1" s="12">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row>
    <row r="682" ht="15.75" customHeight="1" s="1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row>
    <row r="683" ht="15.75" customHeight="1" s="12">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row>
    <row r="684" ht="15.75" customHeight="1" s="12">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row>
    <row r="685" ht="15.75" customHeight="1" s="12">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row>
    <row r="686" ht="15.75" customHeight="1" s="12">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row>
    <row r="687" ht="15.75" customHeight="1" s="12">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row>
    <row r="688" ht="15.75" customHeight="1" s="12">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row>
    <row r="689" ht="15.75" customHeight="1" s="12">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row>
    <row r="690" ht="15.75" customHeight="1" s="12">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row>
    <row r="691" ht="15.75" customHeight="1" s="12">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row>
    <row r="692" ht="15.75" customHeight="1" s="1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row>
    <row r="693" ht="15.75" customHeight="1" s="12">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row>
    <row r="694" ht="15.75" customHeight="1" s="12">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row>
    <row r="695" ht="15.75" customHeight="1" s="12">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row>
    <row r="696" ht="15.75" customHeight="1" s="12">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row>
    <row r="697" ht="15.75" customHeight="1" s="12">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row>
    <row r="698" ht="15.75" customHeight="1" s="12">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row>
    <row r="699" ht="15.75" customHeight="1" s="12">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row>
    <row r="700" ht="15.75" customHeight="1" s="12">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row>
    <row r="701" ht="15.75" customHeight="1" s="12">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row>
    <row r="702" ht="15.75" customHeight="1" s="1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row>
    <row r="703" ht="15.75" customHeight="1" s="12">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row>
    <row r="704" ht="15.75" customHeight="1" s="12">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row>
    <row r="705" ht="15.75" customHeight="1" s="12">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row>
    <row r="706" ht="15.75" customHeight="1" s="12">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row>
    <row r="707" ht="15.75" customHeight="1" s="12">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row>
    <row r="708" ht="15.75" customHeight="1" s="12">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row>
    <row r="709" ht="15.75" customHeight="1" s="12">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row>
    <row r="710" ht="15.75" customHeight="1" s="12">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row>
    <row r="711" ht="15.75" customHeight="1" s="12">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row>
    <row r="712" ht="15.75" customHeight="1" s="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row>
    <row r="713" ht="15.75" customHeight="1" s="12">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row>
    <row r="714" ht="15.75" customHeight="1" s="12">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row>
    <row r="715" ht="15.75" customHeight="1" s="12">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row>
    <row r="716" ht="15.75" customHeight="1" s="12">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row>
    <row r="717" ht="15.75" customHeight="1" s="12">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row>
    <row r="718" ht="15.75" customHeight="1" s="12">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row>
    <row r="719" ht="15.75" customHeight="1" s="12">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row>
    <row r="720" ht="15.75" customHeight="1" s="12">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row>
    <row r="721" ht="15.75" customHeight="1" s="12">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row>
    <row r="722" ht="15.75" customHeight="1" s="1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row>
    <row r="723" ht="15.75" customHeight="1" s="12">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row>
    <row r="724" ht="15.75" customHeight="1" s="12">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row>
    <row r="725" ht="15.75" customHeight="1" s="12">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row>
    <row r="726" ht="15.75" customHeight="1" s="12">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row>
    <row r="727" ht="15.75" customHeight="1" s="12">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row>
    <row r="728" ht="15.75" customHeight="1" s="12">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row>
    <row r="729" ht="15.75" customHeight="1" s="12">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row>
    <row r="730" ht="15.75" customHeight="1" s="12">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row>
    <row r="731" ht="15.75" customHeight="1" s="12">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row>
    <row r="732" ht="15.75" customHeight="1" s="1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row>
    <row r="733" ht="15.75" customHeight="1" s="12">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row>
    <row r="734" ht="15.75" customHeight="1" s="12">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row>
    <row r="735" ht="15.75" customHeight="1" s="12">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row>
    <row r="736" ht="15.75" customHeight="1" s="12">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row>
    <row r="737" ht="15.75" customHeight="1" s="12">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row>
    <row r="738" ht="15.75" customHeight="1" s="12">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row>
    <row r="739" ht="15.75" customHeight="1" s="12">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row>
    <row r="740" ht="15.75" customHeight="1" s="12">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row>
    <row r="741" ht="15.75" customHeight="1" s="12">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row>
    <row r="742" ht="15.75" customHeight="1" s="1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row>
    <row r="743" ht="15.75" customHeight="1" s="12">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row>
    <row r="744" ht="15.75" customHeight="1" s="12">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row>
    <row r="745" ht="15.75" customHeight="1" s="12">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row>
    <row r="746" ht="15.75" customHeight="1" s="12">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row>
    <row r="747" ht="15.75" customHeight="1" s="12">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row>
    <row r="748" ht="15.75" customHeight="1" s="12">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row>
    <row r="749" ht="15.75" customHeight="1" s="12">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row>
    <row r="750" ht="15.75" customHeight="1" s="12">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row>
    <row r="751" ht="15.75" customHeight="1" s="12">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row>
    <row r="752" ht="15.75" customHeight="1" s="1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row>
    <row r="753" ht="15.75" customHeight="1" s="12">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row>
    <row r="754" ht="15.75" customHeight="1" s="12">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row>
    <row r="755" ht="15.75" customHeight="1" s="12">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row>
    <row r="756" ht="15.75" customHeight="1" s="12">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row>
    <row r="757" ht="15.75" customHeight="1" s="12">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row>
    <row r="758" ht="15.75" customHeight="1" s="12">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row>
    <row r="759" ht="15.75" customHeight="1" s="12">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row>
    <row r="760" ht="15.75" customHeight="1" s="12">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row>
    <row r="761" ht="15.75" customHeight="1" s="12">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row>
    <row r="762" ht="15.75" customHeight="1" s="1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row>
    <row r="763" ht="15.75" customHeight="1" s="12">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row>
    <row r="764" ht="15.75" customHeight="1" s="12">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row>
    <row r="765" ht="15.75" customHeight="1" s="12">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row>
    <row r="766" ht="15.75" customHeight="1" s="12">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row>
    <row r="767" ht="15.75" customHeight="1" s="12">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row>
    <row r="768" ht="15.75" customHeight="1" s="12">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row>
    <row r="769" ht="15.75" customHeight="1" s="12">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row>
    <row r="770" ht="15.75" customHeight="1" s="12">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row>
    <row r="771" ht="15.75" customHeight="1" s="12">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row>
    <row r="772" ht="15.75" customHeight="1" s="1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row>
    <row r="773" ht="15.75" customHeight="1" s="12">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row>
    <row r="774" ht="15.75" customHeight="1" s="12">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row>
    <row r="775" ht="15.75" customHeight="1" s="12">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row>
    <row r="776" ht="15.75" customHeight="1" s="12">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row>
    <row r="777" ht="15.75" customHeight="1" s="12">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row>
    <row r="778" ht="15.75" customHeight="1" s="12">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row>
    <row r="779" ht="15.75" customHeight="1" s="12">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row>
    <row r="780" ht="15.75" customHeight="1" s="12">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row>
    <row r="781" ht="15.75" customHeight="1" s="12">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row>
    <row r="782" ht="15.75" customHeight="1" s="1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row>
    <row r="783" ht="15.75" customHeight="1" s="12">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row>
    <row r="784" ht="15.75" customHeight="1" s="12">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row>
    <row r="785" ht="15.75" customHeight="1" s="12">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row>
    <row r="786" ht="15.75" customHeight="1" s="12">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row>
    <row r="787" ht="15.75" customHeight="1" s="12">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row>
    <row r="788" ht="15.75" customHeight="1" s="12">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row>
    <row r="789" ht="15.75" customHeight="1" s="12">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row>
    <row r="790" ht="15.75" customHeight="1" s="12">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row>
    <row r="791" ht="15.75" customHeight="1" s="12">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row>
    <row r="792" ht="15.75" customHeight="1" s="1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row>
    <row r="793" ht="15.75" customHeight="1" s="12">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row>
    <row r="794" ht="15.75" customHeight="1" s="12">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row>
    <row r="795" ht="15.75" customHeight="1" s="12">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row>
    <row r="796" ht="15.75" customHeight="1" s="12">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row>
    <row r="797" ht="15.75" customHeight="1" s="12">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row>
    <row r="798" ht="15.75" customHeight="1" s="12">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row>
    <row r="799" ht="15.75" customHeight="1" s="12">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row>
    <row r="800" ht="15.75" customHeight="1" s="12">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row>
    <row r="801" ht="15.75" customHeight="1" s="12">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row>
    <row r="802" ht="15.75" customHeight="1" s="1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row>
    <row r="803" ht="15.75" customHeight="1" s="12">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row>
    <row r="804" ht="15.75" customHeight="1" s="12">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row>
    <row r="805" ht="15.75" customHeight="1" s="12">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row>
    <row r="806" ht="15.75" customHeight="1" s="12">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row>
    <row r="807" ht="15.75" customHeight="1" s="12">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row>
    <row r="808" ht="15.75" customHeight="1" s="12">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row>
    <row r="809" ht="15.75" customHeight="1" s="12">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row>
    <row r="810" ht="15.75" customHeight="1" s="12">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row>
    <row r="811" ht="15.75" customHeight="1" s="12">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row>
    <row r="812" ht="15.75" customHeight="1" s="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row>
    <row r="813" ht="15.75" customHeight="1" s="12">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row>
    <row r="814" ht="15.75" customHeight="1" s="12">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row>
    <row r="815" ht="15.75" customHeight="1" s="12">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row>
    <row r="816" ht="15.75" customHeight="1" s="12">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row>
    <row r="817" ht="15.75" customHeight="1" s="12">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row>
    <row r="818" ht="15.75" customHeight="1" s="12">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row>
    <row r="819" ht="15.75" customHeight="1" s="12">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row>
    <row r="820" ht="15.75" customHeight="1" s="12">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row>
    <row r="821" ht="15.75" customHeight="1" s="12">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row>
    <row r="822" ht="15.75" customHeight="1" s="1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row>
    <row r="823" ht="15.75" customHeight="1" s="12">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row>
    <row r="824" ht="15.75" customHeight="1" s="12">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row>
    <row r="825" ht="15.75" customHeight="1" s="12">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row>
    <row r="826" ht="15.75" customHeight="1" s="12">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row>
    <row r="827" ht="15.75" customHeight="1" s="12">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row>
    <row r="828" ht="15.75" customHeight="1" s="12">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row>
    <row r="829" ht="15.75" customHeight="1" s="12">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row>
    <row r="830" ht="15.75" customHeight="1" s="12">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row>
    <row r="831" ht="15.75" customHeight="1" s="12">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row>
    <row r="832" ht="15.75" customHeight="1" s="1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row>
    <row r="833" ht="15.75" customHeight="1" s="12">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row>
    <row r="834" ht="15.75" customHeight="1" s="12">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row>
    <row r="835" ht="15.75" customHeight="1" s="12">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row>
    <row r="836" ht="15.75" customHeight="1" s="12">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row>
    <row r="837" ht="15.75" customHeight="1" s="12">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row>
    <row r="838" ht="15.75" customHeight="1" s="12">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row>
    <row r="839" ht="15.75" customHeight="1" s="12">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row>
    <row r="840" ht="15.75" customHeight="1" s="12">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row>
    <row r="841" ht="15.75" customHeight="1" s="12">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row>
    <row r="842" ht="15.75" customHeight="1" s="1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row>
    <row r="843" ht="15.75" customHeight="1" s="12">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row>
    <row r="844" ht="15.75" customHeight="1" s="12">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row>
    <row r="845" ht="15.75" customHeight="1" s="12">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row>
    <row r="846" ht="15.75" customHeight="1" s="12">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row>
    <row r="847" ht="15.75" customHeight="1" s="12">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row>
    <row r="848" ht="15.75" customHeight="1" s="12">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row>
    <row r="849" ht="15.75" customHeight="1" s="12">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row>
    <row r="850" ht="15.75" customHeight="1" s="12">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row>
    <row r="851" ht="15.75" customHeight="1" s="12">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row>
    <row r="852" ht="15.75" customHeight="1" s="1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row>
    <row r="853" ht="15.75" customHeight="1" s="12">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row>
    <row r="854" ht="15.75" customHeight="1" s="12">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row>
    <row r="855" ht="15.75" customHeight="1" s="12">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row>
    <row r="856" ht="15.75" customHeight="1" s="12">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row>
    <row r="857" ht="15.75" customHeight="1" s="12">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row>
    <row r="858" ht="15.75" customHeight="1" s="12">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row>
    <row r="859" ht="15.75" customHeight="1" s="12">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row>
    <row r="860" ht="15.75" customHeight="1" s="12">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row>
    <row r="861" ht="15.75" customHeight="1" s="12">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row>
    <row r="862" ht="15.75" customHeight="1" s="1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row>
    <row r="863" ht="15.75" customHeight="1" s="12">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row>
    <row r="864" ht="15.75" customHeight="1" s="12">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row>
    <row r="865" ht="15.75" customHeight="1" s="12">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row>
    <row r="866" ht="15.75" customHeight="1" s="12">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row>
    <row r="867" ht="15.75" customHeight="1" s="12">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row>
    <row r="868" ht="15.75" customHeight="1" s="12">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row>
    <row r="869" ht="15.75" customHeight="1" s="12">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row>
    <row r="870" ht="15.75" customHeight="1" s="12">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row>
    <row r="871" ht="15.75" customHeight="1" s="12">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row>
    <row r="872" ht="15.75" customHeight="1" s="1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row>
    <row r="873" ht="15.75" customHeight="1" s="12">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row>
    <row r="874" ht="15.75" customHeight="1" s="12">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row>
    <row r="875" ht="15.75" customHeight="1" s="12">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row>
    <row r="876" ht="15.75" customHeight="1" s="12">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row>
    <row r="877" ht="15.75" customHeight="1" s="12">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row>
    <row r="878" ht="15.75" customHeight="1" s="12">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row>
    <row r="879" ht="15.75" customHeight="1" s="12">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row>
    <row r="880" ht="15.75" customHeight="1" s="12">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row>
    <row r="881" ht="15.75" customHeight="1" s="12">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row>
    <row r="882" ht="15.75" customHeight="1" s="1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row>
    <row r="883" ht="15.75" customHeight="1" s="12">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row>
    <row r="884" ht="15.75" customHeight="1" s="12">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row>
    <row r="885" ht="15.75" customHeight="1" s="12">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row>
    <row r="886" ht="15.75" customHeight="1" s="12">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row>
    <row r="887" ht="15.75" customHeight="1" s="12">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row>
    <row r="888" ht="15.75" customHeight="1" s="12">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row>
    <row r="889" ht="15.75" customHeight="1" s="12">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row>
    <row r="890" ht="15.75" customHeight="1" s="12">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row>
    <row r="891" ht="15.75" customHeight="1" s="12">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row>
    <row r="892" ht="15.75" customHeight="1" s="1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row>
    <row r="893" ht="15.75" customHeight="1" s="12">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row>
    <row r="894" ht="15.75" customHeight="1" s="12">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row>
    <row r="895" ht="15.75" customHeight="1" s="12">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row>
    <row r="896" ht="15.75" customHeight="1" s="12">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row>
    <row r="897" ht="15.75" customHeight="1" s="12">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row>
    <row r="898" ht="15.75" customHeight="1" s="12">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row>
    <row r="899" ht="15.75" customHeight="1" s="12">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row>
    <row r="900" ht="15.75" customHeight="1" s="12">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row>
    <row r="901" ht="15.75" customHeight="1" s="12">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row>
    <row r="902" ht="15.75" customHeight="1" s="1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row>
    <row r="903" ht="15.75" customHeight="1" s="12">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row>
    <row r="904" ht="15.75" customHeight="1" s="12">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row>
    <row r="905" ht="15.75" customHeight="1" s="12">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row>
    <row r="906" ht="15.75" customHeight="1" s="12">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row>
    <row r="907" ht="15.75" customHeight="1" s="12">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row>
    <row r="908" ht="15.75" customHeight="1" s="12">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row>
    <row r="909" ht="15.75" customHeight="1" s="12">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row>
    <row r="910" ht="15.75" customHeight="1" s="12">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row>
    <row r="911" ht="15.75" customHeight="1" s="12">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row>
    <row r="912" ht="15.75" customHeight="1" s="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row>
    <row r="913" ht="15.75" customHeight="1" s="12">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row>
    <row r="914" ht="15.75" customHeight="1" s="12">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row>
    <row r="915" ht="15.75" customHeight="1" s="12">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row>
    <row r="916" ht="15.75" customHeight="1" s="12">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row>
    <row r="917" ht="15.75" customHeight="1" s="12">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row>
    <row r="918" ht="15.75" customHeight="1" s="12">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row>
    <row r="919" ht="15.75" customHeight="1" s="12">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row>
    <row r="920" ht="15.75" customHeight="1" s="12">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row>
    <row r="921" ht="15.75" customHeight="1" s="12">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row>
    <row r="922" ht="15.75" customHeight="1" s="1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row>
    <row r="923" ht="15.75" customHeight="1" s="12">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row>
    <row r="924" ht="15.75" customHeight="1" s="12">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row>
    <row r="925" ht="15.75" customHeight="1" s="12">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row>
    <row r="926" ht="15.75" customHeight="1" s="12">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row>
    <row r="927" ht="15.75" customHeight="1" s="12">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row>
    <row r="928" ht="15.75" customHeight="1" s="12">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row>
    <row r="929" ht="15.75" customHeight="1" s="12">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row>
    <row r="930" ht="15.75" customHeight="1" s="12">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row>
    <row r="931" ht="15.75" customHeight="1" s="12">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row>
    <row r="932" ht="15.75" customHeight="1" s="1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row>
    <row r="933" ht="15.75" customHeight="1" s="12">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row>
    <row r="934" ht="15.75" customHeight="1" s="12">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row>
    <row r="935" ht="15.75" customHeight="1" s="12">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row>
    <row r="936" ht="15.75" customHeight="1" s="12">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row>
    <row r="937" ht="15.75" customHeight="1" s="12">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row>
    <row r="938" ht="15.75" customHeight="1" s="12">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row>
    <row r="939" ht="15.75" customHeight="1" s="12">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row>
    <row r="940" ht="15.75" customHeight="1" s="12">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row>
    <row r="941" ht="15.75" customHeight="1" s="12">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row>
    <row r="942" ht="15.75" customHeight="1" s="1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row>
    <row r="943" ht="15.75" customHeight="1" s="12">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row>
    <row r="944" ht="15.75" customHeight="1" s="12">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row>
    <row r="945" ht="15.75" customHeight="1" s="12">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row>
    <row r="946" ht="15.75" customHeight="1" s="12">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row>
    <row r="947" ht="15.75" customHeight="1" s="12">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row>
    <row r="948" ht="15.75" customHeight="1" s="12">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row>
    <row r="949" ht="15.75" customHeight="1" s="12">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row>
    <row r="950" ht="15.75" customHeight="1" s="12">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row>
    <row r="951" ht="15.75" customHeight="1" s="12">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row>
    <row r="952" ht="15.75" customHeight="1" s="1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row>
    <row r="953" ht="15.75" customHeight="1" s="12">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row>
    <row r="954" ht="15.75" customHeight="1" s="12">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row>
    <row r="955" ht="15.75" customHeight="1" s="12">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row>
    <row r="956" ht="15.75" customHeight="1" s="12">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row>
    <row r="957" ht="15.75" customHeight="1" s="12">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row>
    <row r="958" ht="15.75" customHeight="1" s="12">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row>
    <row r="959" ht="15.75" customHeight="1" s="12">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row>
    <row r="960" ht="15.75" customHeight="1" s="12">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row>
    <row r="961" ht="15.75" customHeight="1" s="12">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row>
    <row r="962" ht="15.75" customHeight="1" s="1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row>
    <row r="963" ht="15.75" customHeight="1" s="12">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row>
    <row r="964" ht="15.75" customHeight="1" s="12">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row>
    <row r="965" ht="15.75" customHeight="1" s="12">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row>
    <row r="966" ht="15.75" customHeight="1" s="12">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row>
    <row r="967" ht="15.75" customHeight="1" s="12">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row>
    <row r="968" ht="15.75" customHeight="1" s="12">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row>
    <row r="969" ht="15.75" customHeight="1" s="12">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row>
    <row r="970" ht="15.75" customHeight="1" s="12">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row>
    <row r="971" ht="15.75" customHeight="1" s="12">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row>
    <row r="972" ht="15.75" customHeight="1" s="1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row>
    <row r="973" ht="15.75" customHeight="1" s="12">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row>
    <row r="974" ht="15.75" customHeight="1" s="12">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row>
    <row r="975" ht="15.75" customHeight="1" s="12">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row>
    <row r="976" ht="15.75" customHeight="1" s="12">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row>
    <row r="977" ht="15.75" customHeight="1" s="12">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row>
    <row r="978" ht="15.75" customHeight="1" s="12">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row>
    <row r="979" ht="15.75" customHeight="1" s="12">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row>
    <row r="980" ht="15.75" customHeight="1" s="12">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row>
    <row r="981" ht="15.75" customHeight="1" s="12">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row>
    <row r="982" ht="15.75" customHeight="1" s="1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row>
    <row r="983" ht="15.75" customHeight="1" s="12">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row>
    <row r="984" ht="15.75" customHeight="1" s="12">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row>
    <row r="985" ht="15.75" customHeight="1" s="12">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row>
    <row r="986" ht="15.75" customHeight="1" s="12">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row>
    <row r="987" ht="15.75" customHeight="1" s="12">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row>
    <row r="988" ht="15.75" customHeight="1" s="12">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row>
    <row r="989" ht="15.75" customHeight="1" s="12">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row>
    <row r="990" ht="15.75" customHeight="1" s="12">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row>
    <row r="991" ht="15.75" customHeight="1" s="12">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row>
    <row r="992" ht="15.75" customHeight="1" s="1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row>
    <row r="993" ht="15.75" customHeight="1" s="12">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row>
    <row r="994" ht="15.75" customHeight="1" s="12">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row>
    <row r="995" ht="15.75" customHeight="1" s="12">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row>
    <row r="996" ht="15.75" customHeight="1" s="12">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row>
    <row r="997" ht="15.75" customHeight="1" s="12">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row>
    <row r="998" ht="15.75" customHeight="1" s="12">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row>
    <row r="999" ht="15.75" customHeight="1" s="12">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row>
    <row r="1000" ht="15.75" customHeight="1" s="12">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row>
  </sheetData>
  <autoFilter ref="A1:I21"/>
  <conditionalFormatting sqref="D2:D21">
    <cfRule type="colorScale" priority="1">
      <colorScale>
        <cfvo type="min"/>
        <cfvo type="percentile" val="50"/>
        <cfvo type="max"/>
        <color rgb="00F8696B"/>
        <color rgb="00FFEB84"/>
        <color rgb="0063BE7B"/>
      </colorScale>
    </cfRule>
  </conditionalFormatting>
  <pageMargins left="0.75" right="0.75" top="1" bottom="1" header="0" footer="0"/>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tabColor rgb="0070AD47"/>
    <outlinePr summaryBelow="1" summaryRight="1"/>
    <pageSetUpPr fitToPage="1"/>
  </sheetPr>
  <dimension ref="A1:H157"/>
  <sheetViews>
    <sheetView showGridLines="0" workbookViewId="0">
      <pane ySplit="3" topLeftCell="A4" activePane="bottomLeft" state="frozen"/>
      <selection pane="bottomLeft" activeCell="A1" sqref="A1"/>
    </sheetView>
  </sheetViews>
  <sheetFormatPr baseColWidth="8" defaultRowHeight="15"/>
  <cols>
    <col width="46" customWidth="1" style="12" min="1" max="1"/>
    <col width="32" customWidth="1" style="12" min="2" max="2"/>
    <col width="26" customWidth="1" style="12" min="3" max="3"/>
    <col width="24" customWidth="1" style="12" min="4" max="4"/>
    <col width="24" customWidth="1" style="12" min="5" max="5"/>
    <col width="18" customWidth="1" style="12" min="6" max="6"/>
    <col width="24" customWidth="1" style="12" min="7" max="7"/>
    <col width="18" customWidth="1" style="12" min="8" max="8"/>
  </cols>
  <sheetData>
    <row r="1" ht="30" customHeight="1" s="12">
      <c r="A1" s="26" t="inlineStr">
        <is>
          <t>PR. 1 FUNDAMENTAL BOOSTER — COMPLETED ANALYSIS</t>
        </is>
      </c>
    </row>
    <row r="2">
      <c r="A2" s="28" t="inlineStr">
        <is>
          <t>All required tasks are demonstrated below using formulas linked to the supplied datasets.</t>
        </is>
      </c>
    </row>
    <row r="3">
      <c r="A3" s="27" t="n"/>
      <c r="B3" s="27" t="n"/>
      <c r="C3" s="27" t="n"/>
      <c r="D3" s="27" t="n"/>
      <c r="E3" s="27" t="n"/>
      <c r="F3" s="27" t="n"/>
      <c r="G3" s="27" t="n"/>
      <c r="H3" s="27" t="n"/>
    </row>
    <row r="4">
      <c r="A4" s="29" t="inlineStr">
        <is>
          <t>1. IF / NESTED IF — Student Grade Classification</t>
        </is>
      </c>
    </row>
    <row r="5">
      <c r="A5" s="30" t="inlineStr">
        <is>
          <t>Student ID</t>
        </is>
      </c>
      <c r="B5" s="30" t="inlineStr">
        <is>
          <t>Name</t>
        </is>
      </c>
      <c r="C5" s="30" t="inlineStr">
        <is>
          <t>Average Score</t>
        </is>
      </c>
      <c r="D5" s="30" t="inlineStr">
        <is>
          <t>Grade</t>
        </is>
      </c>
      <c r="E5" s="27" t="n"/>
      <c r="F5" s="27" t="n"/>
      <c r="G5" s="27" t="n"/>
      <c r="H5" s="27" t="n"/>
    </row>
    <row r="6">
      <c r="A6" s="57">
        <f>'Students Grade'!A2</f>
        <v>1001</v>
      </c>
      <c r="B6" s="31" t="str">
        <f>'Students Grade'!B2</f>
        <v>Student 1</v>
      </c>
      <c r="C6" s="32">
        <f>AVERAGE('Students Grade'!C2:'Students Grade'!E2)</f>
        <v>61.6666666666667</v>
      </c>
      <c r="D6" s="31" t="str">
        <f>IF(C6&gt;=90,"A+",IF(C6&gt;=80,"A",IF(C6&gt;=70,"B",IF(C6&gt;=60,"C",IF(C6&gt;=50,"D","F")))))</f>
        <v>C</v>
      </c>
      <c r="E6" s="27" t="n"/>
      <c r="F6" s="27" t="n"/>
      <c r="G6" s="27" t="n"/>
      <c r="H6" s="27" t="n"/>
    </row>
    <row r="7">
      <c r="A7" s="57">
        <f>'Students Grade'!A3</f>
        <v>1002</v>
      </c>
      <c r="B7" s="31" t="str">
        <f>'Students Grade'!B3</f>
        <v>Student 2</v>
      </c>
      <c r="C7" s="32">
        <f>AVERAGE('Students Grade'!C3:'Students Grade'!E3)</f>
        <v>74.6666666666667</v>
      </c>
      <c r="D7" s="31" t="str">
        <f>IF(C7&gt;=90,"A+",IF(C7&gt;=80,"A",IF(C7&gt;=70,"B",IF(C7&gt;=60,"C",IF(C7&gt;=50,"D","F")))))</f>
        <v>B</v>
      </c>
      <c r="E7" s="27" t="n"/>
      <c r="F7" s="27" t="n"/>
      <c r="G7" s="27" t="n"/>
      <c r="H7" s="27" t="n"/>
    </row>
    <row r="8">
      <c r="A8" s="57">
        <f>'Students Grade'!A4</f>
        <v>1003</v>
      </c>
      <c r="B8" s="31" t="str">
        <f>'Students Grade'!B4</f>
        <v>Student 3</v>
      </c>
      <c r="C8" s="32">
        <f>AVERAGE('Students Grade'!C4:'Students Grade'!E4)</f>
        <v>69.3333333333333</v>
      </c>
      <c r="D8" s="31" t="str">
        <f>IF(C8&gt;=90,"A+",IF(C8&gt;=80,"A",IF(C8&gt;=70,"B",IF(C8&gt;=60,"C",IF(C8&gt;=50,"D","F")))))</f>
        <v>C</v>
      </c>
      <c r="E8" s="27" t="n"/>
      <c r="F8" s="27" t="n"/>
      <c r="G8" s="27" t="n"/>
      <c r="H8" s="27" t="n"/>
    </row>
    <row r="9">
      <c r="A9" s="57">
        <f>'Students Grade'!A5</f>
        <v>1004</v>
      </c>
      <c r="B9" s="31" t="str">
        <f>'Students Grade'!B5</f>
        <v>Student 4</v>
      </c>
      <c r="C9" s="32">
        <f>AVERAGE('Students Grade'!C5:'Students Grade'!E5)</f>
        <v>58.3333333333333</v>
      </c>
      <c r="D9" s="31" t="str">
        <f>IF(C9&gt;=90,"A+",IF(C9&gt;=80,"A",IF(C9&gt;=70,"B",IF(C9&gt;=60,"C",IF(C9&gt;=50,"D","F")))))</f>
        <v>D</v>
      </c>
      <c r="E9" s="27" t="n"/>
      <c r="F9" s="27" t="n"/>
      <c r="G9" s="27" t="n"/>
      <c r="H9" s="27" t="n"/>
    </row>
    <row r="10">
      <c r="A10" s="57">
        <f>'Students Grade'!A6</f>
        <v>1005</v>
      </c>
      <c r="B10" s="31" t="str">
        <f>'Students Grade'!B6</f>
        <v>Student 5</v>
      </c>
      <c r="C10" s="32">
        <f>AVERAGE('Students Grade'!C6:'Students Grade'!E6)</f>
        <v>75.3333333333333</v>
      </c>
      <c r="D10" s="31" t="str">
        <f>IF(C10&gt;=90,"A+",IF(C10&gt;=80,"A",IF(C10&gt;=70,"B",IF(C10&gt;=60,"C",IF(C10&gt;=50,"D","F")))))</f>
        <v>B</v>
      </c>
      <c r="E10" s="27" t="n"/>
      <c r="F10" s="27" t="n"/>
      <c r="G10" s="27" t="n"/>
      <c r="H10" s="27" t="n"/>
    </row>
    <row r="11">
      <c r="A11" s="57">
        <f>'Students Grade'!A7</f>
        <v>1006</v>
      </c>
      <c r="B11" s="31" t="str">
        <f>'Students Grade'!B7</f>
        <v>Student 6</v>
      </c>
      <c r="C11" s="32">
        <f>AVERAGE('Students Grade'!C7:'Students Grade'!E7)</f>
        <v>71.6666666666667</v>
      </c>
      <c r="D11" s="31" t="str">
        <f>IF(C11&gt;=90,"A+",IF(C11&gt;=80,"A",IF(C11&gt;=70,"B",IF(C11&gt;=60,"C",IF(C11&gt;=50,"D","F")))))</f>
        <v>B</v>
      </c>
      <c r="E11" s="27" t="n"/>
      <c r="F11" s="27" t="n"/>
      <c r="G11" s="27" t="n"/>
      <c r="H11" s="27" t="n"/>
    </row>
    <row r="12">
      <c r="A12" s="57">
        <f>'Students Grade'!A8</f>
        <v>1007</v>
      </c>
      <c r="B12" s="31" t="str">
        <f>'Students Grade'!B8</f>
        <v>Student 7</v>
      </c>
      <c r="C12" s="32">
        <f>AVERAGE('Students Grade'!C8:'Students Grade'!E8)</f>
        <v>66.6666666666667</v>
      </c>
      <c r="D12" s="31" t="str">
        <f>IF(C12&gt;=90,"A+",IF(C12&gt;=80,"A",IF(C12&gt;=70,"B",IF(C12&gt;=60,"C",IF(C12&gt;=50,"D","F")))))</f>
        <v>C</v>
      </c>
      <c r="E12" s="27" t="n"/>
      <c r="F12" s="27" t="n"/>
      <c r="G12" s="27" t="n"/>
      <c r="H12" s="27" t="n"/>
    </row>
    <row r="13">
      <c r="A13" s="57">
        <f>'Students Grade'!A9</f>
        <v>1008</v>
      </c>
      <c r="B13" s="31" t="str">
        <f>'Students Grade'!B9</f>
        <v>Student 8</v>
      </c>
      <c r="C13" s="32">
        <f>AVERAGE('Students Grade'!C9:'Students Grade'!E9)</f>
        <v>75</v>
      </c>
      <c r="D13" s="31" t="str">
        <f>IF(C13&gt;=90,"A+",IF(C13&gt;=80,"A",IF(C13&gt;=70,"B",IF(C13&gt;=60,"C",IF(C13&gt;=50,"D","F")))))</f>
        <v>B</v>
      </c>
      <c r="E13" s="27" t="n"/>
      <c r="F13" s="27" t="n"/>
      <c r="G13" s="27" t="n"/>
      <c r="H13" s="27" t="n"/>
    </row>
    <row r="14">
      <c r="A14" s="57">
        <f>'Students Grade'!A10</f>
        <v>1009</v>
      </c>
      <c r="B14" s="31" t="str">
        <f>'Students Grade'!B10</f>
        <v>Student 9</v>
      </c>
      <c r="C14" s="32">
        <f>AVERAGE('Students Grade'!C10:'Students Grade'!E10)</f>
        <v>57.3333333333333</v>
      </c>
      <c r="D14" s="31" t="str">
        <f>IF(C14&gt;=90,"A+",IF(C14&gt;=80,"A",IF(C14&gt;=70,"B",IF(C14&gt;=60,"C",IF(C14&gt;=50,"D","F")))))</f>
        <v>D</v>
      </c>
      <c r="E14" s="27" t="n"/>
      <c r="F14" s="27" t="n"/>
      <c r="G14" s="27" t="n"/>
      <c r="H14" s="27" t="n"/>
    </row>
    <row r="15">
      <c r="A15" s="57">
        <f>'Students Grade'!A11</f>
        <v>1010</v>
      </c>
      <c r="B15" s="31" t="str">
        <f>'Students Grade'!B11</f>
        <v>Student 10</v>
      </c>
      <c r="C15" s="32">
        <f>AVERAGE('Students Grade'!C11:'Students Grade'!E11)</f>
        <v>70</v>
      </c>
      <c r="D15" s="31" t="str">
        <f>IF(C15&gt;=90,"A+",IF(C15&gt;=80,"A",IF(C15&gt;=70,"B",IF(C15&gt;=60,"C",IF(C15&gt;=50,"D","F")))))</f>
        <v>B</v>
      </c>
      <c r="E15" s="27" t="n"/>
      <c r="F15" s="27" t="n"/>
      <c r="G15" s="27" t="n"/>
      <c r="H15" s="27" t="n"/>
    </row>
    <row r="16">
      <c r="A16" s="57">
        <f>'Students Grade'!A12</f>
        <v>1011</v>
      </c>
      <c r="B16" s="31" t="str">
        <f>'Students Grade'!B12</f>
        <v>Student 11</v>
      </c>
      <c r="C16" s="32">
        <f>AVERAGE('Students Grade'!C12:'Students Grade'!E12)</f>
        <v>68.3333333333333</v>
      </c>
      <c r="D16" s="31" t="str">
        <f>IF(C16&gt;=90,"A+",IF(C16&gt;=80,"A",IF(C16&gt;=70,"B",IF(C16&gt;=60,"C",IF(C16&gt;=50,"D","F")))))</f>
        <v>C</v>
      </c>
      <c r="E16" s="27" t="n"/>
      <c r="F16" s="27" t="n"/>
      <c r="G16" s="27" t="n"/>
      <c r="H16" s="27" t="n"/>
    </row>
    <row r="17">
      <c r="A17" s="57">
        <f>'Students Grade'!A13</f>
        <v>1012</v>
      </c>
      <c r="B17" s="31" t="str">
        <f>'Students Grade'!B13</f>
        <v>Student 12</v>
      </c>
      <c r="C17" s="32">
        <f>AVERAGE('Students Grade'!C13:'Students Grade'!E13)</f>
        <v>84.3333333333333</v>
      </c>
      <c r="D17" s="31" t="str">
        <f>IF(C17&gt;=90,"A+",IF(C17&gt;=80,"A",IF(C17&gt;=70,"B",IF(C17&gt;=60,"C",IF(C17&gt;=50,"D","F")))))</f>
        <v>A</v>
      </c>
      <c r="E17" s="27" t="n"/>
      <c r="F17" s="27" t="n"/>
      <c r="G17" s="27" t="n"/>
      <c r="H17" s="27" t="n"/>
    </row>
    <row r="18">
      <c r="A18" s="57">
        <f>'Students Grade'!A14</f>
        <v>1013</v>
      </c>
      <c r="B18" s="31" t="str">
        <f>'Students Grade'!B14</f>
        <v>Student 13</v>
      </c>
      <c r="C18" s="32">
        <f>AVERAGE('Students Grade'!C14:'Students Grade'!E14)</f>
        <v>95</v>
      </c>
      <c r="D18" s="31" t="str">
        <f>IF(C18&gt;=90,"A+",IF(C18&gt;=80,"A",IF(C18&gt;=70,"B",IF(C18&gt;=60,"C",IF(C18&gt;=50,"D","F")))))</f>
        <v>A+</v>
      </c>
      <c r="E18" s="27" t="n"/>
      <c r="F18" s="27" t="n"/>
      <c r="G18" s="27" t="n"/>
      <c r="H18" s="27" t="n"/>
    </row>
    <row r="19">
      <c r="A19" s="57">
        <f>'Students Grade'!A15</f>
        <v>1014</v>
      </c>
      <c r="B19" s="31" t="str">
        <f>'Students Grade'!B15</f>
        <v>Student 14</v>
      </c>
      <c r="C19" s="32">
        <f>AVERAGE('Students Grade'!C15:'Students Grade'!E15)</f>
        <v>59</v>
      </c>
      <c r="D19" s="31" t="str">
        <f>IF(C19&gt;=90,"A+",IF(C19&gt;=80,"A",IF(C19&gt;=70,"B",IF(C19&gt;=60,"C",IF(C19&gt;=50,"D","F")))))</f>
        <v>D</v>
      </c>
      <c r="E19" s="27" t="n"/>
      <c r="F19" s="27" t="n"/>
      <c r="G19" s="27" t="n"/>
      <c r="H19" s="27" t="n"/>
    </row>
    <row r="20">
      <c r="A20" s="57">
        <f>'Students Grade'!A16</f>
        <v>1015</v>
      </c>
      <c r="B20" s="31" t="str">
        <f>'Students Grade'!B16</f>
        <v>Student 15</v>
      </c>
      <c r="C20" s="32">
        <f>AVERAGE('Students Grade'!C16:'Students Grade'!E16)</f>
        <v>65.3333333333333</v>
      </c>
      <c r="D20" s="31" t="str">
        <f>IF(C20&gt;=90,"A+",IF(C20&gt;=80,"A",IF(C20&gt;=70,"B",IF(C20&gt;=60,"C",IF(C20&gt;=50,"D","F")))))</f>
        <v>C</v>
      </c>
      <c r="E20" s="27" t="n"/>
      <c r="F20" s="27" t="n"/>
      <c r="G20" s="27" t="n"/>
      <c r="H20" s="27" t="n"/>
    </row>
    <row r="21">
      <c r="A21" s="57">
        <f>'Students Grade'!A17</f>
        <v>1016</v>
      </c>
      <c r="B21" s="31" t="str">
        <f>'Students Grade'!B17</f>
        <v>Student 16</v>
      </c>
      <c r="C21" s="32">
        <f>AVERAGE('Students Grade'!C17:'Students Grade'!E17)</f>
        <v>78.3333333333333</v>
      </c>
      <c r="D21" s="31" t="str">
        <f>IF(C21&gt;=90,"A+",IF(C21&gt;=80,"A",IF(C21&gt;=70,"B",IF(C21&gt;=60,"C",IF(C21&gt;=50,"D","F")))))</f>
        <v>B</v>
      </c>
      <c r="E21" s="27" t="n"/>
      <c r="F21" s="27" t="n"/>
      <c r="G21" s="27" t="n"/>
      <c r="H21" s="27" t="n"/>
    </row>
    <row r="22">
      <c r="A22" s="57">
        <f>'Students Grade'!A18</f>
        <v>1017</v>
      </c>
      <c r="B22" s="31" t="str">
        <f>'Students Grade'!B18</f>
        <v>Student 17</v>
      </c>
      <c r="C22" s="32">
        <f>AVERAGE('Students Grade'!C18:'Students Grade'!E18)</f>
        <v>55</v>
      </c>
      <c r="D22" s="31" t="str">
        <f>IF(C22&gt;=90,"A+",IF(C22&gt;=80,"A",IF(C22&gt;=70,"B",IF(C22&gt;=60,"C",IF(C22&gt;=50,"D","F")))))</f>
        <v>D</v>
      </c>
      <c r="E22" s="27" t="n"/>
      <c r="F22" s="27" t="n"/>
      <c r="G22" s="27" t="n"/>
      <c r="H22" s="27" t="n"/>
    </row>
    <row r="23">
      <c r="A23" s="57">
        <f>'Students Grade'!A19</f>
        <v>1018</v>
      </c>
      <c r="B23" s="31" t="str">
        <f>'Students Grade'!B19</f>
        <v>Student 18</v>
      </c>
      <c r="C23" s="32">
        <f>AVERAGE('Students Grade'!C19:'Students Grade'!E19)</f>
        <v>69.6666666666667</v>
      </c>
      <c r="D23" s="31" t="str">
        <f>IF(C23&gt;=90,"A+",IF(C23&gt;=80,"A",IF(C23&gt;=70,"B",IF(C23&gt;=60,"C",IF(C23&gt;=50,"D","F")))))</f>
        <v>C</v>
      </c>
      <c r="E23" s="27" t="n"/>
      <c r="F23" s="27" t="n"/>
      <c r="G23" s="27" t="n"/>
      <c r="H23" s="27" t="n"/>
    </row>
    <row r="24">
      <c r="A24" s="57">
        <f>'Students Grade'!A20</f>
        <v>1019</v>
      </c>
      <c r="B24" s="31" t="str">
        <f>'Students Grade'!B20</f>
        <v>Student 19</v>
      </c>
      <c r="C24" s="32">
        <f>AVERAGE('Students Grade'!C20:'Students Grade'!E20)</f>
        <v>76</v>
      </c>
      <c r="D24" s="31" t="str">
        <f>IF(C24&gt;=90,"A+",IF(C24&gt;=80,"A",IF(C24&gt;=70,"B",IF(C24&gt;=60,"C",IF(C24&gt;=50,"D","F")))))</f>
        <v>B</v>
      </c>
      <c r="E24" s="27" t="n"/>
      <c r="F24" s="27" t="n"/>
      <c r="G24" s="27" t="n"/>
      <c r="H24" s="27" t="n"/>
    </row>
    <row r="25">
      <c r="A25" s="57">
        <f>'Students Grade'!A21</f>
        <v>1020</v>
      </c>
      <c r="B25" s="31" t="str">
        <f>'Students Grade'!B21</f>
        <v>Student 20</v>
      </c>
      <c r="C25" s="32">
        <f>AVERAGE('Students Grade'!C21:'Students Grade'!E21)</f>
        <v>76.6666666666667</v>
      </c>
      <c r="D25" s="31" t="str">
        <f>IF(C25&gt;=90,"A+",IF(C25&gt;=80,"A",IF(C25&gt;=70,"B",IF(C25&gt;=60,"C",IF(C25&gt;=50,"D","F")))))</f>
        <v>B</v>
      </c>
      <c r="E25" s="27" t="n"/>
      <c r="F25" s="27" t="n"/>
      <c r="G25" s="27" t="n"/>
      <c r="H25" s="27" t="n"/>
    </row>
    <row r="26">
      <c r="A26" s="27" t="n"/>
      <c r="B26" s="27" t="n"/>
      <c r="C26" s="27" t="n"/>
      <c r="D26" s="27" t="n"/>
      <c r="E26" s="27" t="n"/>
      <c r="F26" s="27" t="n"/>
      <c r="G26" s="27" t="n"/>
      <c r="H26" s="27" t="n"/>
    </row>
    <row r="27">
      <c r="A27" s="29" t="inlineStr">
        <is>
          <t>2. COUNTIFS — Students Scoring Above 60</t>
        </is>
      </c>
    </row>
    <row r="28">
      <c r="A28" s="33" t="inlineStr">
        <is>
          <t>Count of students with Math &gt; 60</t>
        </is>
      </c>
      <c r="B28" s="31">
        <f>COUNTIFS('Students Grade'!$C$2:$C$21,"&gt;60")</f>
        <v>19</v>
      </c>
      <c r="C28" s="27" t="n"/>
      <c r="D28" s="27" t="n"/>
      <c r="E28" s="27" t="n"/>
      <c r="F28" s="27" t="n"/>
      <c r="G28" s="27" t="n"/>
      <c r="H28" s="27" t="n"/>
    </row>
    <row r="29">
      <c r="A29" s="33" t="inlineStr">
        <is>
          <t>Count of students with Science &gt; 60</t>
        </is>
      </c>
      <c r="B29" s="31">
        <f>COUNTIFS('Students Grade'!$D$2:$D$21,"&gt;60")</f>
        <v>11</v>
      </c>
      <c r="C29" s="27" t="n"/>
      <c r="D29" s="27" t="n"/>
      <c r="E29" s="27" t="n"/>
      <c r="F29" s="27" t="n"/>
      <c r="G29" s="27" t="n"/>
      <c r="H29" s="27" t="n"/>
    </row>
    <row r="30">
      <c r="A30" s="33" t="inlineStr">
        <is>
          <t>Count of students with Math &gt; 50</t>
        </is>
      </c>
      <c r="B30" s="31">
        <f>COUNTIFS('Students Grade'!$C$2:$C$21,"&gt;50")</f>
        <v>19</v>
      </c>
      <c r="C30" s="27" t="n"/>
      <c r="D30" s="27" t="n"/>
      <c r="E30" s="27" t="n"/>
      <c r="F30" s="27" t="n"/>
      <c r="G30" s="27" t="n"/>
      <c r="H30" s="27" t="n"/>
    </row>
    <row r="31">
      <c r="A31" s="29" t="inlineStr">
        <is>
          <t>3. VLOOKUP — Product Reference Amount</t>
        </is>
      </c>
    </row>
    <row r="32" ht="32" customHeight="1" s="12">
      <c r="A32" s="30" t="inlineStr">
        <is>
          <t>Product</t>
        </is>
      </c>
      <c r="B32" s="30" t="inlineStr">
        <is>
          <t>Reference Amount (Average Sales Amount)</t>
        </is>
      </c>
      <c r="C32" s="30" t="inlineStr">
        <is>
          <t>VLOOKUP Result</t>
        </is>
      </c>
      <c r="D32" s="27" t="n"/>
      <c r="E32" s="30" t="inlineStr">
        <is>
          <t>Product Code</t>
        </is>
      </c>
      <c r="F32" s="30" t="inlineStr">
        <is>
          <t>Product</t>
        </is>
      </c>
      <c r="G32" s="30" t="inlineStr">
        <is>
          <t>List Price (sample input)</t>
        </is>
      </c>
      <c r="H32" s="27" t="n"/>
    </row>
    <row r="33">
      <c r="A33" s="31" t="inlineStr">
        <is>
          <t>Keyboard</t>
        </is>
      </c>
      <c r="B33" s="34">
        <f>AVERAGEIF('Sales Data'!$B$2:$B$21,A33,'Sales Data'!$E$2:$E$21)</f>
        <v>33194</v>
      </c>
      <c r="C33" s="34">
        <f>VLOOKUP(A33,$A$33:$B$37,2,FALSE)</f>
        <v>33194</v>
      </c>
      <c r="D33" s="27" t="n"/>
      <c r="E33" s="49" t="inlineStr">
        <is>
          <t>P-101</t>
        </is>
      </c>
      <c r="F33" s="49" t="inlineStr">
        <is>
          <t>Keyboard</t>
        </is>
      </c>
      <c r="G33" s="50" t="n">
        <v>1200</v>
      </c>
      <c r="H33" s="27" t="n"/>
    </row>
    <row r="34">
      <c r="A34" s="31" t="inlineStr">
        <is>
          <t>Laptop</t>
        </is>
      </c>
      <c r="B34" s="34">
        <f>AVERAGEIF('Sales Data'!$B$2:$B$21,A34,'Sales Data'!$E$2:$E$21)</f>
        <v>12840.3333333333</v>
      </c>
      <c r="C34" s="34">
        <f>VLOOKUP(A34,$A$33:$B$37,2,FALSE)</f>
        <v>12840.3333333333</v>
      </c>
      <c r="D34" s="27" t="n"/>
      <c r="E34" s="49" t="inlineStr">
        <is>
          <t>P-102</t>
        </is>
      </c>
      <c r="F34" s="49" t="inlineStr">
        <is>
          <t>Laptop</t>
        </is>
      </c>
      <c r="G34" s="50" t="n">
        <v>45000</v>
      </c>
      <c r="H34" s="27" t="n"/>
    </row>
    <row r="35">
      <c r="A35" s="31" t="inlineStr">
        <is>
          <t>Monitor</t>
        </is>
      </c>
      <c r="B35" s="34">
        <f>AVERAGEIF('Sales Data'!$B$2:$B$21,A35,'Sales Data'!$E$2:$E$21)</f>
        <v>38547.6666666667</v>
      </c>
      <c r="C35" s="34">
        <f>VLOOKUP(A35,$A$33:$B$37,2,FALSE)</f>
        <v>38547.6666666667</v>
      </c>
      <c r="D35" s="27" t="n"/>
      <c r="E35" s="49" t="inlineStr">
        <is>
          <t>P-103</t>
        </is>
      </c>
      <c r="F35" s="49" t="inlineStr">
        <is>
          <t>Monitor</t>
        </is>
      </c>
      <c r="G35" s="50" t="n">
        <v>9500</v>
      </c>
      <c r="H35" s="27" t="n"/>
    </row>
    <row r="36">
      <c r="A36" s="31" t="inlineStr">
        <is>
          <t>Mouse</t>
        </is>
      </c>
      <c r="B36" s="34">
        <f>AVERAGEIF('Sales Data'!$B$2:$B$21,A36,'Sales Data'!$E$2:$E$21)</f>
        <v>22240</v>
      </c>
      <c r="C36" s="34">
        <f>VLOOKUP(A36,$A$33:$B$37,2,FALSE)</f>
        <v>22240</v>
      </c>
      <c r="D36" s="27" t="n"/>
      <c r="E36" s="49" t="inlineStr">
        <is>
          <t>P-104</t>
        </is>
      </c>
      <c r="F36" s="49" t="inlineStr">
        <is>
          <t>Mouse</t>
        </is>
      </c>
      <c r="G36" s="50" t="n">
        <v>450</v>
      </c>
      <c r="H36" s="27" t="n"/>
    </row>
    <row r="37">
      <c r="A37" s="31" t="inlineStr">
        <is>
          <t>Printer</t>
        </is>
      </c>
      <c r="B37" s="34">
        <f>AVERAGEIF('Sales Data'!$B$2:$B$21,A37,'Sales Data'!$E$2:$E$21)</f>
        <v>19097.75</v>
      </c>
      <c r="C37" s="34">
        <f>VLOOKUP(A37,$A$33:$B$37,2,FALSE)</f>
        <v>19097.75</v>
      </c>
      <c r="D37" s="27" t="n"/>
      <c r="E37" s="49" t="inlineStr">
        <is>
          <t>P-105</t>
        </is>
      </c>
      <c r="F37" s="49" t="inlineStr">
        <is>
          <t>Printer</t>
        </is>
      </c>
      <c r="G37" s="50" t="n">
        <v>7800</v>
      </c>
      <c r="H37" s="27" t="n"/>
    </row>
    <row r="38">
      <c r="A38" s="27" t="n"/>
      <c r="B38" s="27" t="n"/>
      <c r="C38" s="27" t="n"/>
      <c r="D38" s="27" t="n"/>
      <c r="E38" s="27" t="n"/>
      <c r="F38" s="27" t="n"/>
      <c r="G38" s="27" t="n"/>
      <c r="H38" s="27" t="n"/>
    </row>
    <row r="39">
      <c r="A39" s="31" t="inlineStr">
        <is>
          <t>Selected Product</t>
        </is>
      </c>
      <c r="B39" s="31" t="inlineStr">
        <is>
          <t>Keyboard</t>
        </is>
      </c>
      <c r="C39" s="27" t="n"/>
      <c r="D39" s="27" t="n"/>
      <c r="E39" s="33" t="inlineStr">
        <is>
          <t>Selected Product Code</t>
        </is>
      </c>
      <c r="F39" s="49" t="inlineStr">
        <is>
          <t>P-104</t>
        </is>
      </c>
      <c r="G39" s="27" t="n"/>
      <c r="H39" s="27" t="n"/>
    </row>
    <row r="40">
      <c r="A40" s="31" t="inlineStr">
        <is>
          <t>VLOOKUP Result</t>
        </is>
      </c>
      <c r="B40" s="34">
        <f>VLOOKUP(B39,$A$33:$B$37,2,FALSE)</f>
        <v>33194</v>
      </c>
      <c r="C40" s="27" t="n"/>
      <c r="D40" s="27" t="n"/>
      <c r="E40" s="33" t="inlineStr">
        <is>
          <t>VLOOKUP Price</t>
        </is>
      </c>
      <c r="F40" s="34">
        <f>VLOOKUP(F39,$E$33:$G$37,3,FALSE)</f>
        <v>450</v>
      </c>
      <c r="G40" s="27" t="n"/>
      <c r="H40" s="27" t="n"/>
    </row>
    <row r="41">
      <c r="A41" s="27" t="n"/>
      <c r="B41" s="27" t="n"/>
      <c r="C41" s="27" t="n"/>
      <c r="D41" s="27" t="n"/>
      <c r="E41" s="27" t="n"/>
      <c r="F41" s="27" t="n"/>
      <c r="G41" s="27" t="n"/>
      <c r="H41" s="27" t="n"/>
    </row>
    <row r="42">
      <c r="A42" s="29" t="inlineStr">
        <is>
          <t>4. SUMIFS / AVERAGEIFS — Sales &amp; Student Analysis</t>
        </is>
      </c>
    </row>
    <row r="43">
      <c r="A43" s="30" t="inlineStr">
        <is>
          <t>Region</t>
        </is>
      </c>
      <c r="B43" s="30" t="inlineStr">
        <is>
          <t>Product</t>
        </is>
      </c>
      <c r="C43" s="30" t="inlineStr">
        <is>
          <t>Total Sales</t>
        </is>
      </c>
      <c r="D43" s="27" t="n"/>
      <c r="E43" s="27" t="n"/>
      <c r="F43" s="27" t="n"/>
      <c r="G43" s="27" t="n"/>
      <c r="H43" s="27" t="n"/>
    </row>
    <row r="44">
      <c r="A44" s="31" t="inlineStr">
        <is>
          <t>East</t>
        </is>
      </c>
      <c r="B44" s="31" t="inlineStr">
        <is>
          <t>Keyboard</t>
        </is>
      </c>
      <c r="C44" s="34">
        <f>SUMIFS('Sales Data'!$E$2:$E$21,'Sales Data'!$C$2:$C$21,A44,'Sales Data'!$B$2:$B$21,B44)</f>
        <v>80349</v>
      </c>
      <c r="D44" s="27" t="n"/>
      <c r="E44" s="27" t="n"/>
      <c r="F44" s="27" t="n"/>
      <c r="G44" s="27" t="n"/>
      <c r="H44" s="27" t="n"/>
    </row>
    <row r="45">
      <c r="A45" s="31" t="n"/>
      <c r="B45" s="31" t="n"/>
      <c r="C45" s="31" t="n"/>
      <c r="D45" s="27" t="n"/>
      <c r="E45" s="27" t="n"/>
      <c r="F45" s="27" t="n"/>
      <c r="G45" s="27" t="n"/>
      <c r="H45" s="27" t="n"/>
    </row>
    <row r="46">
      <c r="A46" s="31" t="inlineStr">
        <is>
          <t>Average Math score where Math &gt; 60</t>
        </is>
      </c>
      <c r="B46" s="32">
        <f>AVERAGEIFS('Students Grade'!$C$2:$C$21,'Students Grade'!$C$2:$C$21,"&gt;60")</f>
        <v>82.2631578947368</v>
      </c>
      <c r="C46" s="31" t="n"/>
      <c r="D46" s="27" t="n"/>
      <c r="E46" s="27" t="n"/>
      <c r="F46" s="27" t="n"/>
      <c r="G46" s="27" t="n"/>
      <c r="H46" s="27" t="n"/>
    </row>
    <row r="47">
      <c r="A47" s="27" t="n"/>
      <c r="B47" s="27" t="n"/>
      <c r="C47" s="27" t="n"/>
      <c r="D47" s="27" t="n"/>
      <c r="E47" s="27" t="n"/>
      <c r="F47" s="27" t="n"/>
      <c r="G47" s="27" t="n"/>
      <c r="H47" s="27" t="n"/>
    </row>
    <row r="48">
      <c r="A48" s="29" t="inlineStr">
        <is>
          <t>5. VLOOKUP — Student Name by ID</t>
        </is>
      </c>
    </row>
    <row r="49">
      <c r="A49" s="30" t="inlineStr">
        <is>
          <t>Student ID</t>
        </is>
      </c>
      <c r="B49" s="30" t="inlineStr">
        <is>
          <t>Student Name</t>
        </is>
      </c>
      <c r="C49" s="27" t="n"/>
      <c r="D49" s="27" t="n"/>
      <c r="E49" s="27" t="n"/>
      <c r="F49" s="27" t="n"/>
      <c r="G49" s="27" t="n"/>
      <c r="H49" s="27" t="n"/>
    </row>
    <row r="50">
      <c r="A50" s="57" t="n">
        <v>1001</v>
      </c>
      <c r="B50" s="31" t="str">
        <f>VLOOKUP(A50,'Students Grade'!$A$2:$B$21,2,FALSE)</f>
        <v>Student 1</v>
      </c>
      <c r="C50" s="27" t="n"/>
      <c r="D50" s="27" t="n"/>
      <c r="E50" s="27" t="n"/>
      <c r="F50" s="27" t="n"/>
      <c r="G50" s="27" t="n"/>
      <c r="H50" s="27" t="n"/>
    </row>
    <row r="51">
      <c r="A51" s="27" t="n"/>
      <c r="B51" s="27" t="n"/>
      <c r="C51" s="27" t="n"/>
      <c r="D51" s="27" t="n"/>
      <c r="E51" s="27" t="n"/>
      <c r="F51" s="27" t="n"/>
      <c r="G51" s="27" t="n"/>
      <c r="H51" s="27" t="n"/>
    </row>
    <row r="52">
      <c r="A52" s="29" t="inlineStr">
        <is>
          <t>6. INDEX / MATCH — Dynamic Sales &amp; Employee Search</t>
        </is>
      </c>
    </row>
    <row r="53">
      <c r="A53" s="30" t="inlineStr">
        <is>
          <t>Salesperson</t>
        </is>
      </c>
      <c r="B53" s="30" t="inlineStr">
        <is>
          <t>Selected Month</t>
        </is>
      </c>
      <c r="C53" s="30" t="inlineStr">
        <is>
          <t>Sales Value</t>
        </is>
      </c>
      <c r="D53" s="27" t="n"/>
      <c r="E53" s="27" t="n"/>
      <c r="F53" s="27" t="n"/>
      <c r="G53" s="27" t="n"/>
      <c r="H53" s="27" t="n"/>
    </row>
    <row r="54">
      <c r="A54" s="27" t="inlineStr">
        <is>
          <t>Person 10</t>
        </is>
      </c>
      <c r="B54" s="43" t="n">
        <v>45047</v>
      </c>
      <c r="C54" s="36">
        <f>INDEX('Sales Data'!$E$2:$E$21,MATCH(1,INDEX(('Sales Data'!$D$2:$D$21=A54)*(MONTH('Sales Data'!$F$2:$F$21)=MONTH(B54))*(YEAR('Sales Data'!$F$2:$F$21)=YEAR(B54)),0),0))</f>
        <v>35185</v>
      </c>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30" t="inlineStr">
        <is>
          <t>Employee ID</t>
        </is>
      </c>
      <c r="B57" s="30" t="inlineStr">
        <is>
          <t>Field</t>
        </is>
      </c>
      <c r="C57" s="30" t="inlineStr">
        <is>
          <t>Result</t>
        </is>
      </c>
      <c r="D57" s="27" t="n"/>
      <c r="E57" s="27" t="n"/>
      <c r="F57" s="27" t="n"/>
      <c r="G57" s="27" t="n"/>
      <c r="H57" s="27" t="n"/>
    </row>
    <row r="58">
      <c r="A58" s="57" t="n">
        <v>3005</v>
      </c>
      <c r="B58" s="31" t="inlineStr">
        <is>
          <t>Department</t>
        </is>
      </c>
      <c r="C58" s="31" t="str">
        <f>INDEX('Employee Data'!$A$2:$I$21,MATCH(A58,'Employee Data'!$A$2:$A$21,0),MATCH(B58,'Employee Data'!$A$1:$I$1,0))</f>
        <v>IT</v>
      </c>
      <c r="D58" s="27" t="n"/>
      <c r="E58" s="27" t="n"/>
      <c r="F58" s="27" t="n"/>
      <c r="G58" s="27" t="n"/>
      <c r="H58" s="27" t="n"/>
    </row>
    <row r="59">
      <c r="A59" s="57" t="n">
        <v>3005</v>
      </c>
      <c r="B59" s="31" t="inlineStr">
        <is>
          <t>Salary</t>
        </is>
      </c>
      <c r="C59" s="37">
        <f>INDEX('Employee Data'!$A$2:$I$21,MATCH(A59,'Employee Data'!$A$2:$A$21,0),MATCH(B59,'Employee Data'!$A$1:$I$1,0))</f>
        <v>54149</v>
      </c>
      <c r="D59" s="27" t="n"/>
      <c r="E59" s="27" t="n"/>
      <c r="F59" s="27" t="n"/>
      <c r="G59" s="27" t="n"/>
      <c r="H59" s="27" t="n"/>
    </row>
    <row r="60">
      <c r="A60" s="27" t="n"/>
      <c r="B60" s="27" t="n"/>
      <c r="C60" s="27" t="n"/>
      <c r="D60" s="27" t="n"/>
      <c r="E60" s="27" t="n"/>
      <c r="F60" s="27" t="n"/>
      <c r="G60" s="27" t="n"/>
      <c r="H60" s="27" t="n"/>
    </row>
    <row r="61">
      <c r="A61" s="29" t="inlineStr">
        <is>
          <t>7. XLOOKUP — Flexible Employee Salary &amp; Salesperson Performance</t>
        </is>
      </c>
    </row>
    <row r="62">
      <c r="A62" s="30" t="inlineStr">
        <is>
          <t>Employee ID</t>
        </is>
      </c>
      <c r="B62" s="30" t="inlineStr">
        <is>
          <t>XLOOKUP Salary</t>
        </is>
      </c>
      <c r="C62" s="27" t="n"/>
      <c r="D62" s="27" t="n"/>
      <c r="E62" s="27" t="n"/>
      <c r="F62" s="27" t="n"/>
      <c r="G62" s="27" t="n"/>
      <c r="H62" s="27" t="n"/>
    </row>
    <row r="63">
      <c r="A63" s="58" t="n">
        <v>3005</v>
      </c>
      <c r="B63" s="38">
        <f>_xlfn.XLOOKUP(A63,'Employee Data'!$A$2:$A$21,'Employee Data'!$D$2:$D$21,"Not Found")</f>
        <v>54149</v>
      </c>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30" t="inlineStr">
        <is>
          <t>Salesperson</t>
        </is>
      </c>
      <c r="B66" s="30" t="inlineStr">
        <is>
          <t>Total Sales</t>
        </is>
      </c>
      <c r="C66" s="27" t="n"/>
      <c r="D66" s="27" t="n"/>
      <c r="E66" s="27" t="n"/>
      <c r="F66" s="27" t="n"/>
      <c r="G66" s="27" t="n"/>
      <c r="H66" s="27" t="n"/>
    </row>
    <row r="67">
      <c r="A67" s="31" t="inlineStr">
        <is>
          <t>Person 1</t>
        </is>
      </c>
      <c r="B67" s="34">
        <f>SUMIF('Sales Data'!$D$2:$D$21,A67,'Sales Data'!$E$2:$E$21)</f>
        <v>7048</v>
      </c>
      <c r="C67" s="27" t="n"/>
      <c r="D67" s="27" t="n"/>
      <c r="E67" s="27" t="n"/>
      <c r="F67" s="27" t="n"/>
      <c r="G67" s="27" t="n"/>
      <c r="H67" s="27" t="n"/>
    </row>
    <row r="68">
      <c r="A68" s="31" t="inlineStr">
        <is>
          <t>Person 10</t>
        </is>
      </c>
      <c r="B68" s="34">
        <f>SUMIF('Sales Data'!$D$2:$D$21,A68,'Sales Data'!$E$2:$E$21)</f>
        <v>35185</v>
      </c>
      <c r="C68" s="27" t="n"/>
      <c r="D68" s="27" t="n"/>
      <c r="E68" s="27" t="n"/>
      <c r="F68" s="27" t="n"/>
      <c r="G68" s="27" t="n"/>
      <c r="H68" s="27" t="n"/>
    </row>
    <row r="69">
      <c r="A69" s="31" t="inlineStr">
        <is>
          <t>Person 11</t>
        </is>
      </c>
      <c r="B69" s="34">
        <f>SUMIF('Sales Data'!$D$2:$D$21,A69,'Sales Data'!$E$2:$E$21)</f>
        <v>33920</v>
      </c>
      <c r="C69" s="27" t="n"/>
      <c r="D69" s="27" t="n"/>
      <c r="E69" s="27" t="n"/>
      <c r="F69" s="27" t="n"/>
      <c r="G69" s="27" t="n"/>
      <c r="H69" s="27" t="n"/>
    </row>
    <row r="70">
      <c r="A70" s="31" t="inlineStr">
        <is>
          <t>Person 12</t>
        </is>
      </c>
      <c r="B70" s="34">
        <f>SUMIF('Sales Data'!$D$2:$D$21,A70,'Sales Data'!$E$2:$E$21)</f>
        <v>35611</v>
      </c>
      <c r="C70" s="27" t="n"/>
      <c r="D70" s="27" t="n"/>
      <c r="E70" s="27" t="n"/>
      <c r="F70" s="27" t="n"/>
      <c r="G70" s="27" t="n"/>
      <c r="H70" s="27" t="n"/>
    </row>
    <row r="71">
      <c r="A71" s="31" t="inlineStr">
        <is>
          <t>Person 13</t>
        </is>
      </c>
      <c r="B71" s="34">
        <f>SUMIF('Sales Data'!$D$2:$D$21,A71,'Sales Data'!$E$2:$E$21)</f>
        <v>15560</v>
      </c>
      <c r="C71" s="27" t="n"/>
      <c r="D71" s="27" t="n"/>
      <c r="E71" s="27" t="n"/>
      <c r="F71" s="27" t="n"/>
      <c r="G71" s="27" t="n"/>
      <c r="H71" s="27" t="n"/>
    </row>
    <row r="72">
      <c r="A72" s="31" t="inlineStr">
        <is>
          <t>Person 14</t>
        </is>
      </c>
      <c r="B72" s="34">
        <f>SUMIF('Sales Data'!$D$2:$D$21,A72,'Sales Data'!$E$2:$E$21)</f>
        <v>7283</v>
      </c>
      <c r="C72" s="27" t="n"/>
      <c r="D72" s="27" t="n"/>
      <c r="E72" s="27" t="n"/>
      <c r="F72" s="27" t="n"/>
      <c r="G72" s="27" t="n"/>
      <c r="H72" s="27" t="n"/>
    </row>
    <row r="73">
      <c r="A73" s="31" t="inlineStr">
        <is>
          <t>Person 15</t>
        </is>
      </c>
      <c r="B73" s="34">
        <f>SUMIF('Sales Data'!$D$2:$D$21,A73,'Sales Data'!$E$2:$E$21)</f>
        <v>15678</v>
      </c>
      <c r="C73" s="27" t="n"/>
      <c r="D73" s="27" t="n"/>
      <c r="E73" s="27" t="n"/>
      <c r="F73" s="27" t="n"/>
      <c r="G73" s="27" t="n"/>
      <c r="H73" s="27" t="n"/>
    </row>
    <row r="74">
      <c r="A74" s="31" t="inlineStr">
        <is>
          <t>Person 16</t>
        </is>
      </c>
      <c r="B74" s="34">
        <f>SUMIF('Sales Data'!$D$2:$D$21,A74,'Sales Data'!$E$2:$E$21)</f>
        <v>5277</v>
      </c>
      <c r="C74" s="27" t="n"/>
      <c r="D74" s="27" t="n"/>
      <c r="E74" s="27" t="n"/>
      <c r="F74" s="27" t="n"/>
      <c r="G74" s="27" t="n"/>
      <c r="H74" s="27" t="n"/>
    </row>
    <row r="75">
      <c r="A75" s="31" t="inlineStr">
        <is>
          <t>Person 17</t>
        </is>
      </c>
      <c r="B75" s="34">
        <f>SUMIF('Sales Data'!$D$2:$D$21,A75,'Sales Data'!$E$2:$E$21)</f>
        <v>41871</v>
      </c>
      <c r="C75" s="27" t="n"/>
      <c r="D75" s="27" t="n"/>
      <c r="E75" s="27" t="n"/>
      <c r="F75" s="27" t="n"/>
      <c r="G75" s="27" t="n"/>
      <c r="H75" s="27" t="n"/>
    </row>
    <row r="76">
      <c r="A76" s="31" t="inlineStr">
        <is>
          <t>Person 18</t>
        </is>
      </c>
      <c r="B76" s="34">
        <f>SUMIF('Sales Data'!$D$2:$D$21,A76,'Sales Data'!$E$2:$E$21)</f>
        <v>38161</v>
      </c>
      <c r="C76" s="27" t="n"/>
      <c r="D76" s="27" t="n"/>
      <c r="E76" s="27" t="n"/>
      <c r="F76" s="27" t="n"/>
      <c r="G76" s="27" t="n"/>
      <c r="H76" s="27" t="n"/>
    </row>
    <row r="77">
      <c r="A77" s="31" t="inlineStr">
        <is>
          <t>Person 19</t>
        </is>
      </c>
      <c r="B77" s="34">
        <f>SUMIF('Sales Data'!$D$2:$D$21,A77,'Sales Data'!$E$2:$E$21)</f>
        <v>30436</v>
      </c>
      <c r="C77" s="27" t="n"/>
      <c r="D77" s="27" t="n"/>
      <c r="E77" s="27" t="n"/>
      <c r="F77" s="27" t="n"/>
      <c r="G77" s="27" t="n"/>
      <c r="H77" s="27" t="n"/>
    </row>
    <row r="78">
      <c r="A78" s="31" t="inlineStr">
        <is>
          <t>Person 2</t>
        </is>
      </c>
      <c r="B78" s="34">
        <f>SUMIF('Sales Data'!$D$2:$D$21,A78,'Sales Data'!$E$2:$E$21)</f>
        <v>17428</v>
      </c>
      <c r="C78" s="27" t="n"/>
      <c r="D78" s="27" t="n"/>
      <c r="E78" s="27" t="n"/>
      <c r="F78" s="27" t="n"/>
      <c r="G78" s="27" t="n"/>
      <c r="H78" s="27" t="n"/>
    </row>
    <row r="79">
      <c r="A79" s="31" t="inlineStr">
        <is>
          <t>Person 20</t>
        </is>
      </c>
      <c r="B79" s="34">
        <f>SUMIF('Sales Data'!$D$2:$D$21,A79,'Sales Data'!$E$2:$E$21)</f>
        <v>33953</v>
      </c>
      <c r="C79" s="27" t="n"/>
      <c r="D79" s="27" t="n"/>
      <c r="E79" s="27" t="n"/>
      <c r="F79" s="27" t="n"/>
      <c r="G79" s="27" t="n"/>
      <c r="H79" s="27" t="n"/>
    </row>
    <row r="80">
      <c r="A80" s="31" t="inlineStr">
        <is>
          <t>Person 3</t>
        </is>
      </c>
      <c r="B80" s="34">
        <f>SUMIF('Sales Data'!$D$2:$D$21,A80,'Sales Data'!$E$2:$E$21)</f>
        <v>23672</v>
      </c>
      <c r="C80" s="27" t="n"/>
      <c r="D80" s="27" t="n"/>
      <c r="E80" s="27" t="n"/>
      <c r="F80" s="27" t="n"/>
      <c r="G80" s="27" t="n"/>
      <c r="H80" s="27" t="n"/>
    </row>
    <row r="81">
      <c r="A81" s="31" t="inlineStr">
        <is>
          <t>Person 4</t>
        </is>
      </c>
      <c r="B81" s="34">
        <f>SUMIF('Sales Data'!$D$2:$D$21,A81,'Sales Data'!$E$2:$E$21)</f>
        <v>5264</v>
      </c>
      <c r="C81" s="27" t="n"/>
      <c r="D81" s="27" t="n"/>
      <c r="E81" s="27" t="n"/>
      <c r="F81" s="27" t="n"/>
      <c r="G81" s="27" t="n"/>
      <c r="H81" s="27" t="n"/>
    </row>
    <row r="82">
      <c r="A82" s="31" t="inlineStr">
        <is>
          <t>Person 5</t>
        </is>
      </c>
      <c r="B82" s="34">
        <f>SUMIF('Sales Data'!$D$2:$D$21,A82,'Sales Data'!$E$2:$E$21)</f>
        <v>43388</v>
      </c>
      <c r="C82" s="27" t="n"/>
      <c r="D82" s="27" t="n"/>
      <c r="E82" s="27" t="n"/>
      <c r="F82" s="27" t="n"/>
      <c r="G82" s="27" t="n"/>
      <c r="H82" s="27" t="n"/>
    </row>
    <row r="83">
      <c r="A83" s="31" t="inlineStr">
        <is>
          <t>Person 6</t>
        </is>
      </c>
      <c r="B83" s="34">
        <f>SUMIF('Sales Data'!$D$2:$D$21,A83,'Sales Data'!$E$2:$E$21)</f>
        <v>19757</v>
      </c>
      <c r="C83" s="27" t="n"/>
      <c r="D83" s="27" t="n"/>
      <c r="E83" s="27" t="n"/>
      <c r="F83" s="27" t="n"/>
      <c r="G83" s="27" t="n"/>
      <c r="H83" s="27" t="n"/>
    </row>
    <row r="84">
      <c r="A84" s="31" t="inlineStr">
        <is>
          <t>Person 7</t>
        </is>
      </c>
      <c r="B84" s="34">
        <f>SUMIF('Sales Data'!$D$2:$D$21,A84,'Sales Data'!$E$2:$E$21)</f>
        <v>32058</v>
      </c>
      <c r="C84" s="27" t="n"/>
      <c r="D84" s="27" t="n"/>
      <c r="E84" s="27" t="n"/>
      <c r="F84" s="27" t="n"/>
      <c r="G84" s="27" t="n"/>
      <c r="H84" s="27" t="n"/>
    </row>
    <row r="85">
      <c r="A85" s="31" t="inlineStr">
        <is>
          <t>Person 8</t>
        </is>
      </c>
      <c r="B85" s="34">
        <f>SUMIF('Sales Data'!$D$2:$D$21,A85,'Sales Data'!$E$2:$E$21)</f>
        <v>46429</v>
      </c>
      <c r="C85" s="27" t="n"/>
      <c r="D85" s="27" t="n"/>
      <c r="E85" s="27" t="n"/>
      <c r="F85" s="27" t="n"/>
      <c r="G85" s="27" t="n"/>
      <c r="H85" s="27" t="n"/>
    </row>
    <row r="86">
      <c r="A86" s="31" t="inlineStr">
        <is>
          <t>Person 9</t>
        </is>
      </c>
      <c r="B86" s="34">
        <f>SUMIF('Sales Data'!$D$2:$D$21,A86,'Sales Data'!$E$2:$E$21)</f>
        <v>19746</v>
      </c>
      <c r="C86" s="27" t="n"/>
      <c r="D86" s="27" t="n"/>
      <c r="E86" s="27" t="n"/>
      <c r="F86" s="27" t="n"/>
      <c r="G86" s="27" t="n"/>
      <c r="H86" s="27" t="n"/>
    </row>
    <row r="87">
      <c r="A87" s="27" t="n"/>
      <c r="B87" s="27" t="n"/>
      <c r="C87" s="27" t="n"/>
      <c r="D87" s="27" t="n"/>
      <c r="E87" s="27" t="n"/>
      <c r="F87" s="27" t="n"/>
      <c r="G87" s="27" t="n"/>
      <c r="H87" s="27" t="n"/>
    </row>
    <row r="88">
      <c r="A88" s="31" t="inlineStr">
        <is>
          <t>Selected Salesperson</t>
        </is>
      </c>
      <c r="B88" s="31" t="inlineStr">
        <is>
          <t>Person 1</t>
        </is>
      </c>
      <c r="C88" s="27" t="n"/>
      <c r="D88" s="27" t="n"/>
      <c r="E88" s="27" t="n"/>
      <c r="F88" s="27" t="n"/>
      <c r="G88" s="27" t="n"/>
      <c r="H88" s="27" t="n"/>
    </row>
    <row r="89">
      <c r="A89" s="31" t="inlineStr">
        <is>
          <t>XLOOKUP Performance</t>
        </is>
      </c>
      <c r="B89" s="34">
        <f>_xlfn.XLOOKUP(B88,$A$67:$A$86,$B$67:$B$86,"Not Found")</f>
        <v>7048</v>
      </c>
      <c r="C89" s="27" t="n"/>
      <c r="D89" s="27" t="n"/>
      <c r="E89" s="27" t="n"/>
      <c r="F89" s="27" t="n"/>
      <c r="G89" s="27" t="n"/>
      <c r="H89" s="27" t="n"/>
    </row>
    <row r="90">
      <c r="A90" s="27" t="n"/>
      <c r="B90" s="27" t="n"/>
      <c r="C90" s="27" t="n"/>
      <c r="D90" s="27" t="n"/>
      <c r="E90" s="27" t="n"/>
      <c r="F90" s="27" t="n"/>
      <c r="G90" s="27" t="n"/>
      <c r="H90" s="27" t="n"/>
    </row>
    <row r="91">
      <c r="A91" s="29" t="inlineStr">
        <is>
          <t>8. XMATCH — Product Position in Sales List</t>
        </is>
      </c>
    </row>
    <row r="92">
      <c r="A92" s="30" t="inlineStr">
        <is>
          <t>Product to Find</t>
        </is>
      </c>
      <c r="B92" s="30" t="inlineStr">
        <is>
          <t>Position in Sales Product List</t>
        </is>
      </c>
      <c r="C92" s="27" t="n"/>
      <c r="D92" s="27" t="n"/>
      <c r="E92" s="27" t="n"/>
      <c r="F92" s="27" t="n"/>
      <c r="G92" s="27" t="n"/>
      <c r="H92" s="27" t="n"/>
    </row>
    <row r="93">
      <c r="A93" s="31" t="inlineStr">
        <is>
          <t>Keyboard</t>
        </is>
      </c>
      <c r="B93" s="31">
        <f>_xlfn.XMATCH(A93,'Sales Data'!$B$2:$B$21,0)</f>
        <v>1</v>
      </c>
      <c r="C93" s="27" t="n"/>
      <c r="D93" s="27" t="n"/>
      <c r="E93" s="27" t="n"/>
      <c r="F93" s="27" t="n"/>
      <c r="G93" s="27" t="n"/>
      <c r="H93" s="27" t="n"/>
    </row>
    <row r="94">
      <c r="A94" s="27" t="n"/>
      <c r="B94" s="27" t="n"/>
      <c r="C94" s="27" t="n"/>
      <c r="D94" s="27" t="n"/>
      <c r="E94" s="27" t="n"/>
      <c r="F94" s="27" t="n"/>
      <c r="G94" s="27" t="n"/>
      <c r="H94" s="27" t="n"/>
    </row>
    <row r="95">
      <c r="A95" s="29" t="inlineStr">
        <is>
          <t>9. INDIRECT — Dynamic Range Reference</t>
        </is>
      </c>
    </row>
    <row r="96">
      <c r="A96" s="30" t="inlineStr">
        <is>
          <t>Range Reference</t>
        </is>
      </c>
      <c r="B96" s="30" t="inlineStr">
        <is>
          <t>Calculated Total</t>
        </is>
      </c>
      <c r="C96" s="27" t="n"/>
      <c r="D96" s="27" t="n"/>
      <c r="E96" s="27" t="n"/>
      <c r="F96" s="27" t="n"/>
      <c r="G96" s="27" t="n"/>
      <c r="H96" s="27" t="n"/>
    </row>
    <row r="97">
      <c r="A97" s="31" t="inlineStr">
        <is>
          <t>'Sales Data'!E2:E21</t>
        </is>
      </c>
      <c r="B97" s="34">
        <f>SUM(INDIRECT(A97))</f>
        <v>507725</v>
      </c>
      <c r="C97" s="27" t="n"/>
      <c r="D97" s="27" t="n"/>
      <c r="E97" s="27" t="n"/>
      <c r="F97" s="27" t="n"/>
      <c r="G97" s="27" t="n"/>
      <c r="H97" s="27" t="n"/>
    </row>
    <row r="98">
      <c r="A98" s="27" t="n"/>
      <c r="B98" s="27" t="n"/>
      <c r="C98" s="27" t="n"/>
      <c r="D98" s="27" t="n"/>
      <c r="E98" s="27" t="n"/>
      <c r="F98" s="27" t="n"/>
      <c r="G98" s="27" t="n"/>
      <c r="H98" s="27" t="n"/>
    </row>
    <row r="99">
      <c r="A99" s="29" t="inlineStr">
        <is>
          <t>10. OFFSET — Dynamic 3-Period Sales Trend</t>
        </is>
      </c>
    </row>
    <row r="100">
      <c r="A100" s="30" t="inlineStr">
        <is>
          <t>Month</t>
        </is>
      </c>
      <c r="B100" s="30" t="inlineStr">
        <is>
          <t>Monthly Sales</t>
        </is>
      </c>
      <c r="C100" s="30" t="inlineStr">
        <is>
          <t>3-Month Moving Total (OFFSET)</t>
        </is>
      </c>
      <c r="D100" s="27" t="n"/>
      <c r="E100" s="27" t="n"/>
      <c r="F100" s="27" t="n"/>
      <c r="G100" s="27" t="n"/>
      <c r="H100" s="27" t="n"/>
    </row>
    <row r="101">
      <c r="A101" s="44" t="n">
        <v>44927</v>
      </c>
      <c r="B101" s="37">
        <f>SUMIFS('Sales Data'!$E$2:$E$21,'Sales Data'!$F$2:$F$21,"&gt;="&amp;A101,'Sales Data'!$F$2:$F$21,"&lt;"&amp;EDATE(A101,1))</f>
        <v>48148</v>
      </c>
      <c r="C101" s="31" t="n"/>
      <c r="D101" s="27" t="n"/>
      <c r="E101" s="27" t="n"/>
      <c r="F101" s="27" t="n"/>
      <c r="G101" s="27" t="n"/>
      <c r="H101" s="27" t="n"/>
    </row>
    <row r="102">
      <c r="A102" s="44" t="n">
        <v>44958</v>
      </c>
      <c r="B102" s="37">
        <f>SUMIFS('Sales Data'!$E$2:$E$21,'Sales Data'!$F$2:$F$21,"&gt;="&amp;A102,'Sales Data'!$F$2:$F$21,"&lt;"&amp;EDATE(A102,1))</f>
        <v>5264</v>
      </c>
      <c r="C102" s="31" t="n"/>
      <c r="D102" s="27" t="n"/>
      <c r="E102" s="27" t="n"/>
      <c r="F102" s="27" t="n"/>
      <c r="G102" s="27" t="n"/>
      <c r="H102" s="27" t="n"/>
    </row>
    <row r="103">
      <c r="A103" s="44" t="n">
        <v>44986</v>
      </c>
      <c r="B103" s="37">
        <f>SUMIFS('Sales Data'!$E$2:$E$21,'Sales Data'!$F$2:$F$21,"&gt;="&amp;A103,'Sales Data'!$F$2:$F$21,"&lt;"&amp;EDATE(A103,1))</f>
        <v>63145</v>
      </c>
      <c r="C103" s="37">
        <f>SUM(OFFSET(B103,-2,0,3,1))</f>
        <v>116557</v>
      </c>
      <c r="D103" s="27" t="n"/>
      <c r="E103" s="27" t="n"/>
      <c r="F103" s="27" t="n"/>
      <c r="G103" s="27" t="n"/>
      <c r="H103" s="27" t="n"/>
    </row>
    <row r="104">
      <c r="A104" s="44" t="n">
        <v>45017</v>
      </c>
      <c r="B104" s="37">
        <f>SUMIFS('Sales Data'!$E$2:$E$21,'Sales Data'!$F$2:$F$21,"&gt;="&amp;A104,'Sales Data'!$F$2:$F$21,"&lt;"&amp;EDATE(A104,1))</f>
        <v>78487</v>
      </c>
      <c r="C104" s="37">
        <f>SUM(OFFSET(B104,-2,0,3,1))</f>
        <v>146896</v>
      </c>
      <c r="D104" s="27" t="n"/>
      <c r="E104" s="27" t="n"/>
      <c r="F104" s="27" t="n"/>
      <c r="G104" s="27" t="n"/>
      <c r="H104" s="27" t="n"/>
    </row>
    <row r="105">
      <c r="A105" s="44" t="n">
        <v>45047</v>
      </c>
      <c r="B105" s="37">
        <f>SUMIFS('Sales Data'!$E$2:$E$21,'Sales Data'!$F$2:$F$21,"&gt;="&amp;A105,'Sales Data'!$F$2:$F$21,"&lt;"&amp;EDATE(A105,1))</f>
        <v>88851</v>
      </c>
      <c r="C105" s="37">
        <f>SUM(OFFSET(B105,-2,0,3,1))</f>
        <v>230483</v>
      </c>
      <c r="D105" s="27" t="n"/>
      <c r="E105" s="27" t="n"/>
      <c r="F105" s="27" t="n"/>
      <c r="G105" s="27" t="n"/>
      <c r="H105" s="27" t="n"/>
    </row>
    <row r="106">
      <c r="A106" s="44" t="n">
        <v>45078</v>
      </c>
      <c r="B106" s="37">
        <f>SUMIFS('Sales Data'!$E$2:$E$21,'Sales Data'!$F$2:$F$21,"&gt;="&amp;A106,'Sales Data'!$F$2:$F$21,"&lt;"&amp;EDATE(A106,1))</f>
        <v>51171</v>
      </c>
      <c r="C106" s="37">
        <f>SUM(OFFSET(B106,-2,0,3,1))</f>
        <v>218509</v>
      </c>
      <c r="D106" s="27" t="n"/>
      <c r="E106" s="27" t="n"/>
      <c r="F106" s="27" t="n"/>
      <c r="G106" s="27" t="n"/>
      <c r="H106" s="27" t="n"/>
    </row>
    <row r="107">
      <c r="A107" s="44" t="n">
        <v>45108</v>
      </c>
      <c r="B107" s="37">
        <f>SUMIFS('Sales Data'!$E$2:$E$21,'Sales Data'!$F$2:$F$21,"&gt;="&amp;A107,'Sales Data'!$F$2:$F$21,"&lt;"&amp;EDATE(A107,1))</f>
        <v>22961</v>
      </c>
      <c r="C107" s="37">
        <f>SUM(OFFSET(B107,-2,0,3,1))</f>
        <v>162983</v>
      </c>
      <c r="D107" s="27" t="n"/>
      <c r="E107" s="27" t="n"/>
      <c r="F107" s="27" t="n"/>
      <c r="G107" s="27" t="n"/>
      <c r="H107" s="27" t="n"/>
    </row>
    <row r="108">
      <c r="A108" s="44" t="n">
        <v>45139</v>
      </c>
      <c r="B108" s="37">
        <f>SUMIFS('Sales Data'!$E$2:$E$21,'Sales Data'!$F$2:$F$21,"&gt;="&amp;A108,'Sales Data'!$F$2:$F$21,"&lt;"&amp;EDATE(A108,1))</f>
        <v>47148</v>
      </c>
      <c r="C108" s="37">
        <f>SUM(OFFSET(B108,-2,0,3,1))</f>
        <v>121280</v>
      </c>
      <c r="D108" s="27" t="n"/>
      <c r="E108" s="27" t="n"/>
      <c r="F108" s="27" t="n"/>
      <c r="G108" s="27" t="n"/>
      <c r="H108" s="27" t="n"/>
    </row>
    <row r="109">
      <c r="A109" s="44" t="n">
        <v>45170</v>
      </c>
      <c r="B109" s="37">
        <f>SUMIFS('Sales Data'!$E$2:$E$21,'Sales Data'!$F$2:$F$21,"&gt;="&amp;A109,'Sales Data'!$F$2:$F$21,"&lt;"&amp;EDATE(A109,1))</f>
        <v>68597</v>
      </c>
      <c r="C109" s="37">
        <f>SUM(OFFSET(B109,-2,0,3,1))</f>
        <v>138706</v>
      </c>
      <c r="D109" s="27" t="n"/>
      <c r="E109" s="27" t="n"/>
      <c r="F109" s="27" t="n"/>
      <c r="G109" s="27" t="n"/>
      <c r="H109" s="27" t="n"/>
    </row>
    <row r="110">
      <c r="A110" s="44" t="n">
        <v>45200</v>
      </c>
      <c r="B110" s="37">
        <f>SUMIFS('Sales Data'!$E$2:$E$21,'Sales Data'!$F$2:$F$21,"&gt;="&amp;A110,'Sales Data'!$F$2:$F$21,"&lt;"&amp;EDATE(A110,1))</f>
        <v>33953</v>
      </c>
      <c r="C110" s="37">
        <f>SUM(OFFSET(B110,-2,0,3,1))</f>
        <v>149698</v>
      </c>
      <c r="D110" s="27" t="n"/>
      <c r="E110" s="27" t="n"/>
      <c r="F110" s="27" t="n"/>
      <c r="G110" s="27" t="n"/>
      <c r="H110" s="27" t="n"/>
    </row>
    <row r="111">
      <c r="A111" s="27" t="n"/>
      <c r="B111" s="27" t="n"/>
      <c r="C111" s="27" t="n"/>
      <c r="D111" s="27" t="n"/>
      <c r="E111" s="27" t="n"/>
      <c r="F111" s="27" t="n"/>
      <c r="G111" s="27" t="n"/>
      <c r="H111" s="27" t="n"/>
    </row>
    <row r="112">
      <c r="A112" s="27" t="n"/>
      <c r="B112" s="27" t="n"/>
      <c r="C112" s="27" t="n"/>
      <c r="D112" s="27" t="n"/>
      <c r="E112" s="27" t="n"/>
      <c r="F112" s="27" t="n"/>
      <c r="G112" s="27" t="n"/>
      <c r="H112" s="27" t="n"/>
    </row>
    <row r="113">
      <c r="A113" s="29" t="inlineStr">
        <is>
          <t>11. DATE / TIME — Joining Date Analysis</t>
        </is>
      </c>
    </row>
    <row r="114">
      <c r="A114" s="30" t="inlineStr">
        <is>
          <t>Employee</t>
        </is>
      </c>
      <c r="B114" s="30" t="inlineStr">
        <is>
          <t>Joining Date</t>
        </is>
      </c>
      <c r="C114" s="30" t="inlineStr">
        <is>
          <t>Joining Year</t>
        </is>
      </c>
      <c r="D114" s="30" t="inlineStr">
        <is>
          <t>Years of Service</t>
        </is>
      </c>
      <c r="E114" s="27" t="n"/>
      <c r="F114" s="27" t="n"/>
      <c r="G114" s="27" t="n"/>
      <c r="H114" s="27" t="n"/>
    </row>
    <row r="115">
      <c r="A115" s="31" t="str">
        <f>'Employee Data'!B2</f>
        <v>Employee 1</v>
      </c>
      <c r="B115" s="45">
        <f>'Employee Data'!E2</f>
        <v>42005.0</v>
      </c>
      <c r="C115" s="31">
        <f>YEAR(B115)</f>
        <v>2015</v>
      </c>
      <c r="D115" s="31">
        <f>IF(B115&gt;TODAY(),0,DATEDIF(B115,TODAY(),"Y"))</f>
        <v>11</v>
      </c>
      <c r="E115" s="27" t="n"/>
      <c r="F115" s="27" t="n"/>
      <c r="G115" s="27" t="n"/>
      <c r="H115" s="27" t="n"/>
    </row>
    <row r="116">
      <c r="A116" s="31" t="str">
        <f>'Employee Data'!B3</f>
        <v>Employee 2</v>
      </c>
      <c r="B116" s="45">
        <f>'Employee Data'!E3</f>
        <v>42255.0</v>
      </c>
      <c r="C116" s="31">
        <f>YEAR(B116)</f>
        <v>2015</v>
      </c>
      <c r="D116" s="31">
        <f>IF(B116&gt;TODAY(),0,DATEDIF(B116,TODAY(),"Y"))</f>
        <v>11</v>
      </c>
      <c r="E116" s="27" t="n"/>
      <c r="F116" s="27" t="n"/>
      <c r="G116" s="27" t="n"/>
      <c r="H116" s="27" t="n"/>
    </row>
    <row r="117">
      <c r="A117" s="31" t="str">
        <f>'Employee Data'!B4</f>
        <v>Employee 3</v>
      </c>
      <c r="B117" s="45">
        <f>'Employee Data'!E4</f>
        <v>42505.0</v>
      </c>
      <c r="C117" s="31">
        <f>YEAR(B117)</f>
        <v>2016</v>
      </c>
      <c r="D117" s="31">
        <f>IF(B117&gt;TODAY(),0,DATEDIF(B117,TODAY(),"Y"))</f>
        <v>10</v>
      </c>
      <c r="E117" s="27" t="n"/>
      <c r="F117" s="27" t="n"/>
      <c r="G117" s="27" t="n"/>
      <c r="H117" s="27" t="n"/>
    </row>
    <row r="118">
      <c r="A118" s="31" t="str">
        <f>'Employee Data'!B5</f>
        <v>Employee 4</v>
      </c>
      <c r="B118" s="45">
        <f>'Employee Data'!E5</f>
        <v>42755.0</v>
      </c>
      <c r="C118" s="31">
        <f>YEAR(B118)</f>
        <v>2017</v>
      </c>
      <c r="D118" s="31">
        <f>IF(B118&gt;TODAY(),0,DATEDIF(B118,TODAY(),"Y"))</f>
        <v>9</v>
      </c>
      <c r="E118" s="27" t="n"/>
      <c r="F118" s="27" t="n"/>
      <c r="G118" s="27" t="n"/>
      <c r="H118" s="27" t="n"/>
    </row>
    <row r="119">
      <c r="A119" s="31" t="str">
        <f>'Employee Data'!B6</f>
        <v>Employee 5</v>
      </c>
      <c r="B119" s="45">
        <f>'Employee Data'!E6</f>
        <v>43005.0</v>
      </c>
      <c r="C119" s="31">
        <f>YEAR(B119)</f>
        <v>2017</v>
      </c>
      <c r="D119" s="31">
        <f>IF(B119&gt;TODAY(),0,DATEDIF(B119,TODAY(),"Y"))</f>
        <v>9</v>
      </c>
      <c r="E119" s="27" t="n"/>
      <c r="F119" s="27" t="n"/>
      <c r="G119" s="27" t="n"/>
      <c r="H119" s="27" t="n"/>
    </row>
    <row r="120">
      <c r="A120" s="27" t="n"/>
      <c r="B120" s="27" t="n"/>
      <c r="C120" s="27" t="n"/>
      <c r="D120" s="27" t="n"/>
      <c r="E120" s="27" t="n"/>
      <c r="F120" s="27" t="n"/>
      <c r="G120" s="27" t="n"/>
      <c r="H120" s="27" t="n"/>
    </row>
    <row r="121">
      <c r="A121" s="31" t="inlineStr">
        <is>
          <t>Days between first and last employee joining dates</t>
        </is>
      </c>
      <c r="B121" s="51">
        <f>MAX('Employee Data'!$E$2:$E$21)-MIN('Employee Data'!$E$2:$E$21)</f>
        <v>4750</v>
      </c>
      <c r="C121" s="27" t="n"/>
      <c r="D121" s="27" t="n"/>
      <c r="E121" s="27" t="n"/>
      <c r="F121" s="27" t="n"/>
      <c r="G121" s="27" t="n"/>
      <c r="H121" s="27" t="n"/>
    </row>
    <row r="122">
      <c r="A122" s="27" t="n"/>
      <c r="B122" s="27" t="n"/>
      <c r="C122" s="27" t="n"/>
      <c r="D122" s="27" t="n"/>
      <c r="E122" s="27" t="n"/>
      <c r="F122" s="27" t="n"/>
      <c r="G122" s="27" t="n"/>
      <c r="H122" s="27" t="n"/>
    </row>
    <row r="123">
      <c r="A123" s="27" t="n"/>
      <c r="B123" s="27" t="n"/>
      <c r="C123" s="27" t="n"/>
      <c r="D123" s="27" t="n"/>
      <c r="E123" s="27" t="n"/>
      <c r="F123" s="27" t="n"/>
      <c r="G123" s="27" t="n"/>
      <c r="H123" s="27" t="n"/>
    </row>
    <row r="124">
      <c r="A124" s="29" t="inlineStr">
        <is>
          <t>12. MATH FUNCTIONS — ROUND / CEILING / FLOOR</t>
        </is>
      </c>
    </row>
    <row r="125">
      <c r="A125" s="30" t="inlineStr">
        <is>
          <t>Sales Amount</t>
        </is>
      </c>
      <c r="B125" s="30" t="inlineStr">
        <is>
          <t>ROUND</t>
        </is>
      </c>
      <c r="C125" s="30" t="inlineStr">
        <is>
          <t>CEILING</t>
        </is>
      </c>
      <c r="D125" s="30" t="inlineStr">
        <is>
          <t>FLOOR</t>
        </is>
      </c>
      <c r="E125" s="27" t="n"/>
      <c r="F125" s="27" t="n"/>
      <c r="G125" s="27" t="n"/>
      <c r="H125" s="27" t="n"/>
    </row>
    <row r="126">
      <c r="A126" s="37">
        <f>'Sales Data'!E2</f>
        <v>7048</v>
      </c>
      <c r="B126" s="37">
        <f>ROUND(A126,-2)</f>
        <v>7000</v>
      </c>
      <c r="C126" s="37">
        <f>CEILING(A126,1000)</f>
        <v>8000</v>
      </c>
      <c r="D126" s="37">
        <f>FLOOR(A126,1000)</f>
        <v>7000</v>
      </c>
      <c r="E126" s="27" t="n"/>
      <c r="F126" s="27" t="n"/>
      <c r="G126" s="27" t="n"/>
      <c r="H126" s="27" t="n"/>
    </row>
    <row r="127">
      <c r="A127" s="37">
        <f>'Sales Data'!E3</f>
        <v>17428</v>
      </c>
      <c r="B127" s="37">
        <f>ROUND(A127,-2)</f>
        <v>17400</v>
      </c>
      <c r="C127" s="37">
        <f>CEILING(A127,1000)</f>
        <v>18000</v>
      </c>
      <c r="D127" s="37">
        <f>FLOOR(A127,1000)</f>
        <v>17000</v>
      </c>
      <c r="E127" s="27" t="n"/>
      <c r="F127" s="27" t="n"/>
      <c r="G127" s="27" t="n"/>
      <c r="H127" s="27" t="n"/>
    </row>
    <row r="128">
      <c r="A128" s="37">
        <f>'Sales Data'!E4</f>
        <v>23672</v>
      </c>
      <c r="B128" s="37">
        <f>ROUND(A128,-2)</f>
        <v>23700</v>
      </c>
      <c r="C128" s="37">
        <f>CEILING(A128,1000)</f>
        <v>24000</v>
      </c>
      <c r="D128" s="37">
        <f>FLOOR(A128,1000)</f>
        <v>23000</v>
      </c>
      <c r="E128" s="27" t="n"/>
      <c r="F128" s="27" t="n"/>
      <c r="G128" s="27" t="n"/>
      <c r="H128" s="27" t="n"/>
    </row>
    <row r="129">
      <c r="A129" s="37">
        <f>'Sales Data'!E5</f>
        <v>5264</v>
      </c>
      <c r="B129" s="37">
        <f>ROUND(A129,-2)</f>
        <v>5300</v>
      </c>
      <c r="C129" s="37">
        <f>CEILING(A129,1000)</f>
        <v>6000</v>
      </c>
      <c r="D129" s="37">
        <f>FLOOR(A129,1000)</f>
        <v>5000</v>
      </c>
      <c r="E129" s="27" t="n"/>
      <c r="F129" s="27" t="n"/>
      <c r="G129" s="27" t="n"/>
      <c r="H129" s="27" t="n"/>
    </row>
    <row r="130">
      <c r="A130" s="37">
        <f>'Sales Data'!E6</f>
        <v>43388</v>
      </c>
      <c r="B130" s="37">
        <f>ROUND(A130,-2)</f>
        <v>43400</v>
      </c>
      <c r="C130" s="37">
        <f>CEILING(A130,1000)</f>
        <v>44000</v>
      </c>
      <c r="D130" s="37">
        <f>FLOOR(A130,1000)</f>
        <v>43000</v>
      </c>
      <c r="E130" s="27" t="n"/>
      <c r="F130" s="27" t="n"/>
      <c r="G130" s="27" t="n"/>
      <c r="H130" s="27" t="n"/>
    </row>
    <row r="131">
      <c r="A131" s="27" t="n"/>
      <c r="B131" s="27" t="n"/>
      <c r="C131" s="27" t="n"/>
      <c r="D131" s="27" t="n"/>
      <c r="E131" s="27" t="n"/>
      <c r="F131" s="27" t="n"/>
      <c r="G131" s="27" t="n"/>
      <c r="H131" s="27" t="n"/>
    </row>
    <row r="132">
      <c r="A132" s="27" t="n"/>
      <c r="B132" s="27" t="n"/>
      <c r="C132" s="27" t="n"/>
      <c r="D132" s="27" t="n"/>
      <c r="E132" s="27" t="n"/>
      <c r="F132" s="27" t="n"/>
      <c r="G132" s="27" t="n"/>
      <c r="H132" s="27" t="n"/>
    </row>
    <row r="133">
      <c r="A133" s="29" t="inlineStr">
        <is>
          <t>13. FILTER — Top-Performing Students (Average Score &gt; 80)</t>
        </is>
      </c>
    </row>
    <row r="134">
      <c r="A134" s="30" t="inlineStr">
        <is>
          <t>Student ID</t>
        </is>
      </c>
      <c r="B134" s="30" t="inlineStr">
        <is>
          <t>Name</t>
        </is>
      </c>
      <c r="C134" s="30" t="inlineStr">
        <is>
          <t>Average Score</t>
        </is>
      </c>
      <c r="D134" s="27" t="n"/>
      <c r="E134" s="27" t="n"/>
      <c r="F134" s="27" t="n"/>
      <c r="G134" s="27" t="n"/>
      <c r="H134" s="27" t="n"/>
    </row>
    <row r="135">
      <c r="A135" s="31">
        <f t="array" ref="A135:B142">IFERROR(_xlfn._xlws.FILTER('Students Grade'!$A$2:$B$21,'Students Grade'!$J$2:$J$21&gt;80,"No students found"),"")</f>
        <v>1012</v>
      </c>
      <c r="B135" s="31" t="str">
        <v>Student 12</v>
      </c>
      <c r="C135" s="32">
        <f t="array" ref="C135:C142">IFERROR(_xlfn._xlws.FILTER('Students Grade'!$J$2:$J$21,'Students Grade'!$J$2:$J$21&gt;80,"No students found"),"")</f>
        <v>84.3333333333333</v>
      </c>
      <c r="D135" s="27" t="n"/>
      <c r="E135" s="27" t="n"/>
      <c r="F135" s="27" t="n"/>
      <c r="G135" s="27" t="n"/>
      <c r="H135" s="27" t="n"/>
    </row>
    <row r="136">
      <c r="A136" s="31">
        <v>1013</v>
      </c>
      <c r="B136" s="31" t="str">
        <v>Student 13</v>
      </c>
      <c r="C136" s="32">
        <v>95</v>
      </c>
      <c r="D136" s="27" t="n"/>
      <c r="E136" s="27" t="n"/>
      <c r="F136" s="27" t="n"/>
      <c r="G136" s="27" t="n"/>
      <c r="H136" s="27" t="n"/>
    </row>
    <row r="137">
      <c r="A137" s="31" t="str">
        <v/>
      </c>
      <c r="B137" s="31" t="str">
        <v/>
      </c>
      <c r="C137" s="32" t="str">
        <v/>
      </c>
      <c r="D137" s="27" t="n"/>
      <c r="E137" s="27" t="n"/>
      <c r="F137" s="27" t="n"/>
      <c r="G137" s="27" t="n"/>
      <c r="H137" s="27" t="n"/>
    </row>
    <row r="138">
      <c r="A138" s="31" t="str">
        <v/>
      </c>
      <c r="B138" s="31" t="str">
        <v/>
      </c>
      <c r="C138" s="32" t="str">
        <v/>
      </c>
      <c r="D138" s="27" t="n"/>
      <c r="E138" s="27" t="n"/>
      <c r="F138" s="27" t="n"/>
      <c r="G138" s="27" t="n"/>
      <c r="H138" s="27" t="n"/>
    </row>
    <row r="139">
      <c r="A139" s="31" t="str">
        <v/>
      </c>
      <c r="B139" s="31" t="str">
        <v/>
      </c>
      <c r="C139" s="32" t="str">
        <v/>
      </c>
      <c r="D139" s="27" t="n"/>
      <c r="E139" s="27" t="n"/>
      <c r="F139" s="27" t="n"/>
      <c r="G139" s="27" t="n"/>
      <c r="H139" s="27" t="n"/>
    </row>
    <row r="140">
      <c r="A140" s="31" t="str">
        <v/>
      </c>
      <c r="B140" s="31" t="str">
        <v/>
      </c>
      <c r="C140" s="32" t="str">
        <v/>
      </c>
      <c r="D140" s="27" t="n"/>
      <c r="E140" s="27" t="n"/>
      <c r="F140" s="27" t="n"/>
      <c r="G140" s="27" t="n"/>
      <c r="H140" s="27" t="n"/>
    </row>
    <row r="141">
      <c r="A141" s="31" t="str">
        <v/>
      </c>
      <c r="B141" s="31" t="str">
        <v/>
      </c>
      <c r="C141" s="32" t="str">
        <v/>
      </c>
      <c r="D141" s="27" t="n"/>
      <c r="E141" s="27" t="n"/>
      <c r="F141" s="27" t="n"/>
      <c r="G141" s="27" t="n"/>
      <c r="H141" s="27" t="n"/>
    </row>
    <row r="142">
      <c r="A142" s="31" t="str">
        <v/>
      </c>
      <c r="B142" s="31" t="str">
        <v/>
      </c>
      <c r="C142" s="32" t="str">
        <v/>
      </c>
      <c r="D142" s="27" t="n"/>
      <c r="E142" s="27" t="n"/>
      <c r="F142" s="27" t="n"/>
      <c r="G142" s="27" t="n"/>
      <c r="H142" s="27" t="n"/>
    </row>
    <row r="143">
      <c r="A143" s="52" t="inlineStr">
        <is>
          <t>Note: FILTER needs Excel 2021 / Microsoft 365. The block holds up to 8 students; extra rows stay blank.</t>
        </is>
      </c>
      <c r="B143" s="31" t="n"/>
      <c r="C143" s="31" t="n"/>
      <c r="D143" s="27" t="n"/>
      <c r="E143" s="27" t="n"/>
      <c r="F143" s="27" t="n"/>
      <c r="G143" s="27" t="n"/>
      <c r="H143" s="27" t="n"/>
    </row>
    <row r="144">
      <c r="A144" s="31" t="n"/>
      <c r="B144" s="31" t="n"/>
      <c r="C144" s="31" t="n"/>
      <c r="D144" s="27" t="n"/>
      <c r="E144" s="27" t="n"/>
      <c r="F144" s="27" t="n"/>
      <c r="G144" s="27" t="n"/>
      <c r="H144" s="27" t="n"/>
    </row>
    <row r="145">
      <c r="A145" s="31" t="n"/>
      <c r="B145" s="31" t="n"/>
      <c r="C145" s="31" t="n"/>
      <c r="D145" s="27" t="n"/>
      <c r="E145" s="27" t="n"/>
      <c r="F145" s="27" t="n"/>
      <c r="G145" s="27" t="n"/>
      <c r="H145" s="27" t="n"/>
    </row>
    <row r="146">
      <c r="A146" s="29" t="inlineStr">
        <is>
          <t>14. DATE / TIME — Age from Date of Birth</t>
        </is>
      </c>
    </row>
    <row r="147">
      <c r="A147" s="30" t="inlineStr">
        <is>
          <t>Person</t>
        </is>
      </c>
      <c r="B147" s="30" t="inlineStr">
        <is>
          <t>Date of Birth (sample input)</t>
        </is>
      </c>
      <c r="C147" s="30" t="inlineStr">
        <is>
          <t>Age (Years)</t>
        </is>
      </c>
      <c r="D147" s="27" t="n"/>
      <c r="E147" s="27" t="n"/>
      <c r="F147" s="27" t="n"/>
      <c r="G147" s="27" t="n"/>
      <c r="H147" s="27" t="n"/>
    </row>
    <row r="148">
      <c r="A148" s="45" t="inlineStr">
        <is>
          <t>Person A</t>
        </is>
      </c>
      <c r="B148" s="49" t="n">
        <v>34772</v>
      </c>
      <c r="C148" s="53">
        <f>DATEDIF(B148,TODAY(),"Y")</f>
        <v>31</v>
      </c>
      <c r="D148" s="27" t="n"/>
      <c r="E148" s="27" t="n"/>
      <c r="F148" s="27" t="n"/>
      <c r="G148" s="27" t="n"/>
      <c r="H148" s="27" t="n"/>
    </row>
    <row r="149">
      <c r="A149" s="45" t="inlineStr">
        <is>
          <t>Person B</t>
        </is>
      </c>
      <c r="B149" s="49" t="n">
        <v>36832</v>
      </c>
      <c r="C149" s="53">
        <f>DATEDIF(B149,TODAY(),"Y")</f>
        <v>25</v>
      </c>
      <c r="D149" s="27" t="n"/>
      <c r="E149" s="27" t="n"/>
      <c r="F149" s="27" t="n"/>
      <c r="G149" s="27" t="n"/>
      <c r="H149" s="27" t="n"/>
    </row>
    <row r="150">
      <c r="A150" s="45" t="inlineStr">
        <is>
          <t>Person C</t>
        </is>
      </c>
      <c r="B150" s="49" t="n">
        <v>32349</v>
      </c>
      <c r="C150" s="53">
        <f>DATEDIF(B150,TODAY(),"Y")</f>
        <v>38</v>
      </c>
      <c r="D150" s="27" t="n"/>
      <c r="E150" s="27" t="n"/>
      <c r="F150" s="27" t="n"/>
      <c r="G150" s="27" t="n"/>
      <c r="H150" s="27" t="n"/>
    </row>
    <row r="151">
      <c r="A151" s="33" t="inlineStr">
        <is>
          <t>Days between two dates (first vs last DOB)</t>
        </is>
      </c>
      <c r="B151" s="51">
        <f>MAX($B$148:$B$150)-MIN($B$148:$B$150)</f>
        <v>4483</v>
      </c>
      <c r="C151" s="31" t="n"/>
      <c r="D151" s="27" t="n"/>
      <c r="E151" s="27" t="n"/>
      <c r="F151" s="27" t="n"/>
      <c r="G151" s="27" t="n"/>
      <c r="H151" s="27" t="n"/>
    </row>
    <row r="152">
      <c r="A152" s="52" t="inlineStr">
        <is>
          <t>Blue font = sample input typed by student (dataset has no DOB column).</t>
        </is>
      </c>
      <c r="B152" s="31" t="n"/>
      <c r="C152" s="31" t="n"/>
      <c r="D152" s="27" t="n"/>
      <c r="E152" s="27" t="n"/>
      <c r="F152" s="27" t="n"/>
      <c r="G152" s="27" t="n"/>
      <c r="H152" s="27" t="n"/>
    </row>
    <row r="153">
      <c r="A153" s="31" t="n"/>
      <c r="B153" s="31" t="n"/>
      <c r="C153" s="31" t="n"/>
      <c r="D153" s="27" t="n"/>
      <c r="E153" s="27" t="n"/>
      <c r="F153" s="27" t="n"/>
      <c r="G153" s="27" t="n"/>
      <c r="H153" s="27" t="n"/>
    </row>
    <row r="154">
      <c r="A154" s="31" t="n"/>
      <c r="B154" s="31" t="n"/>
      <c r="C154" s="31" t="n"/>
      <c r="D154" s="27" t="n"/>
      <c r="E154" s="27" t="n"/>
      <c r="F154" s="27" t="n"/>
      <c r="G154" s="27" t="n"/>
      <c r="H154" s="27" t="n"/>
    </row>
    <row r="155">
      <c r="A155" s="27" t="n"/>
      <c r="B155" s="27" t="n"/>
      <c r="C155" s="27" t="n"/>
      <c r="D155" s="27" t="n"/>
      <c r="E155" s="27" t="n"/>
      <c r="F155" s="27" t="n"/>
      <c r="G155" s="27" t="n"/>
      <c r="H155" s="27" t="n"/>
    </row>
    <row r="156">
      <c r="A156" s="27" t="n"/>
      <c r="B156" s="27" t="n"/>
      <c r="C156" s="27" t="n"/>
      <c r="D156" s="27" t="n"/>
      <c r="E156" s="27" t="n"/>
      <c r="F156" s="27" t="n"/>
      <c r="G156" s="27" t="n"/>
      <c r="H156" s="27" t="n"/>
    </row>
    <row r="157">
      <c r="A157" s="41" t="inlineStr">
        <is>
          <t>Submission note</t>
        </is>
      </c>
      <c r="B157" s="42" t="inlineStr">
        <is>
          <t>Workbook completed: all 13 task groups done with formulas, absolute/relative references, formatting, lookups, dynamic references, date analysis, math functions and FILTER. Blue-font cells are sample inputs.</t>
        </is>
      </c>
    </row>
  </sheetData>
  <mergeCells count="17">
    <mergeCell ref="A4:H4"/>
    <mergeCell ref="A48:H48"/>
    <mergeCell ref="A124:H124"/>
    <mergeCell ref="A146:H146"/>
    <mergeCell ref="A91:H91"/>
    <mergeCell ref="B157:H157"/>
    <mergeCell ref="A95:H95"/>
    <mergeCell ref="A113:H113"/>
    <mergeCell ref="A2:H2"/>
    <mergeCell ref="A52:H52"/>
    <mergeCell ref="A99:H99"/>
    <mergeCell ref="A42:H42"/>
    <mergeCell ref="A1:H1"/>
    <mergeCell ref="A133:H133"/>
    <mergeCell ref="A27:H27"/>
    <mergeCell ref="A31:H31"/>
    <mergeCell ref="A61:H61"/>
  </mergeCell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D25"/>
  <sheetViews>
    <sheetView workbookViewId="0">
      <pane ySplit="1" topLeftCell="A2" activePane="bottomLeft" state="frozen"/>
      <selection pane="bottomLeft" activeCell="A1" sqref="A1"/>
    </sheetView>
  </sheetViews>
  <sheetFormatPr baseColWidth="8" defaultRowHeight="15"/>
  <cols>
    <col width="46" customWidth="1" style="12" min="1" max="1"/>
    <col width="62" customWidth="1" style="12" min="2" max="2"/>
    <col width="28" customWidth="1" style="12" min="3" max="3"/>
    <col width="10" customWidth="1" style="12" min="4" max="4"/>
  </cols>
  <sheetData>
    <row r="1">
      <c r="A1" s="30" t="inlineStr">
        <is>
          <t>Requirement (from project brief)</t>
        </is>
      </c>
      <c r="B1" s="30" t="inlineStr">
        <is>
          <t>Where to find it</t>
        </is>
      </c>
      <c r="C1" s="30" t="inlineStr">
        <is>
          <t>Function(s) used</t>
        </is>
      </c>
      <c r="D1" s="30" t="inlineStr">
        <is>
          <t>Status</t>
        </is>
      </c>
    </row>
    <row r="2">
      <c r="A2" s="54" t="inlineStr">
        <is>
          <t>Enter &amp; format data (bold, italic, currency, date)</t>
        </is>
      </c>
      <c r="B2" s="54" t="inlineStr">
        <is>
          <t>All data sheets (headers bold, ₹ currency, dd-mmm-yyyy dates; italic notes on Analysis)</t>
        </is>
      </c>
      <c r="C2" s="54" t="inlineStr">
        <is>
          <t>Number formats</t>
        </is>
      </c>
      <c r="D2" s="55" t="inlineStr">
        <is>
          <t>Done</t>
        </is>
      </c>
    </row>
    <row r="3">
      <c r="A3" s="54" t="inlineStr">
        <is>
          <t>Absolute &amp; relative references</t>
        </is>
      </c>
      <c r="B3" s="54" t="inlineStr">
        <is>
          <t>Analysis rows 28-135 ($A$1:$B$2 style); Sales Data N2:N21 uses $P$1</t>
        </is>
      </c>
      <c r="C3" s="54" t="inlineStr">
        <is>
          <t>$A$1, A1</t>
        </is>
      </c>
      <c r="D3" s="55" t="inlineStr">
        <is>
          <t>Done</t>
        </is>
      </c>
    </row>
    <row r="4">
      <c r="A4" s="54" t="inlineStr">
        <is>
          <t>Classify grades (nested IF)</t>
        </is>
      </c>
      <c r="B4" s="54" t="inlineStr">
        <is>
          <t>Students Grade col G; Analysis section 1</t>
        </is>
      </c>
      <c r="C4" s="54" t="inlineStr">
        <is>
          <t>IF (nested)</t>
        </is>
      </c>
      <c r="D4" s="55" t="inlineStr">
        <is>
          <t>Done</t>
        </is>
      </c>
    </row>
    <row r="5">
      <c r="A5" s="54" t="inlineStr">
        <is>
          <t>Discount by price threshold</t>
        </is>
      </c>
      <c r="B5" s="54" t="inlineStr">
        <is>
          <t>Sales Data cols G:I</t>
        </is>
      </c>
      <c r="C5" s="54" t="inlineStr">
        <is>
          <t>IF (nested)</t>
        </is>
      </c>
      <c r="D5" s="55" t="inlineStr">
        <is>
          <t>Done</t>
        </is>
      </c>
    </row>
    <row r="6">
      <c r="A6" s="54" t="inlineStr">
        <is>
          <t>Math &amp; Science &gt; 80</t>
        </is>
      </c>
      <c r="B6" s="54" t="inlineStr">
        <is>
          <t>Students Grade col I</t>
        </is>
      </c>
      <c r="C6" s="54" t="inlineStr">
        <is>
          <t>IF + AND</t>
        </is>
      </c>
      <c r="D6" s="55" t="inlineStr">
        <is>
          <t>Done</t>
        </is>
      </c>
    </row>
    <row r="7">
      <c r="A7" s="54" t="inlineStr">
        <is>
          <t>Product discount eligibility</t>
        </is>
      </c>
      <c r="B7" s="54" t="inlineStr">
        <is>
          <t>Sales Data col J</t>
        </is>
      </c>
      <c r="C7" s="54" t="inlineStr">
        <is>
          <t>IF + OR</t>
        </is>
      </c>
      <c r="D7" s="55" t="inlineStr">
        <is>
          <t>Done</t>
        </is>
      </c>
    </row>
    <row r="8">
      <c r="A8" s="54" t="inlineStr">
        <is>
          <t>Students scoring above 50 in Math</t>
        </is>
      </c>
      <c r="B8" s="54" t="inlineStr">
        <is>
          <t>Analysis B30</t>
        </is>
      </c>
      <c r="C8" s="54" t="inlineStr">
        <is>
          <t>COUNTIFS</t>
        </is>
      </c>
      <c r="D8" s="55" t="inlineStr">
        <is>
          <t>Done</t>
        </is>
      </c>
    </row>
    <row r="9">
      <c r="A9" s="54" t="inlineStr">
        <is>
          <t>Students scoring above 60</t>
        </is>
      </c>
      <c r="B9" s="54" t="inlineStr">
        <is>
          <t>Analysis B28:B29</t>
        </is>
      </c>
      <c r="C9" s="54" t="inlineStr">
        <is>
          <t>COUNTIFS</t>
        </is>
      </c>
      <c r="D9" s="55" t="inlineStr">
        <is>
          <t>Done</t>
        </is>
      </c>
    </row>
    <row r="10">
      <c r="A10" s="54" t="inlineStr">
        <is>
          <t>Total sales for region &amp; product</t>
        </is>
      </c>
      <c r="B10" s="54" t="inlineStr">
        <is>
          <t>Analysis C44</t>
        </is>
      </c>
      <c r="C10" s="54" t="inlineStr">
        <is>
          <t>SUMIFS</t>
        </is>
      </c>
      <c r="D10" s="55" t="inlineStr">
        <is>
          <t>Done</t>
        </is>
      </c>
    </row>
    <row r="11">
      <c r="A11" s="54" t="inlineStr">
        <is>
          <t>Average score above 60</t>
        </is>
      </c>
      <c r="B11" s="54" t="inlineStr">
        <is>
          <t>Analysis B46</t>
        </is>
      </c>
      <c r="C11" s="54" t="inlineStr">
        <is>
          <t>AVERAGEIFS</t>
        </is>
      </c>
      <c r="D11" s="55" t="inlineStr">
        <is>
          <t>Done</t>
        </is>
      </c>
    </row>
    <row r="12">
      <c r="A12" s="54" t="inlineStr">
        <is>
          <t>Student name by ID</t>
        </is>
      </c>
      <c r="B12" s="54" t="inlineStr">
        <is>
          <t>Analysis B50</t>
        </is>
      </c>
      <c r="C12" s="54" t="inlineStr">
        <is>
          <t>VLOOKUP</t>
        </is>
      </c>
      <c r="D12" s="55" t="inlineStr">
        <is>
          <t>Done</t>
        </is>
      </c>
    </row>
    <row r="13">
      <c r="A13" s="54" t="inlineStr">
        <is>
          <t>Product price by product code</t>
        </is>
      </c>
      <c r="B13" s="54" t="inlineStr">
        <is>
          <t>Analysis F40 (sample price table E32:G37) and B40</t>
        </is>
      </c>
      <c r="C13" s="54" t="inlineStr">
        <is>
          <t>VLOOKUP</t>
        </is>
      </c>
      <c r="D13" s="55" t="inlineStr">
        <is>
          <t>Done</t>
        </is>
      </c>
    </row>
    <row r="14">
      <c r="A14" s="54" t="inlineStr">
        <is>
          <t>Sales for salesperson in a month</t>
        </is>
      </c>
      <c r="B14" s="54" t="inlineStr">
        <is>
          <t>Analysis C54</t>
        </is>
      </c>
      <c r="C14" s="54" t="inlineStr">
        <is>
          <t>INDEX + MATCH</t>
        </is>
      </c>
      <c r="D14" s="55" t="inlineStr">
        <is>
          <t>Done</t>
        </is>
      </c>
    </row>
    <row r="15">
      <c r="A15" s="54" t="inlineStr">
        <is>
          <t>Employee details dynamically</t>
        </is>
      </c>
      <c r="B15" s="54" t="inlineStr">
        <is>
          <t>Analysis C58:C59</t>
        </is>
      </c>
      <c r="C15" s="54" t="inlineStr">
        <is>
          <t>INDEX + MATCH</t>
        </is>
      </c>
      <c r="D15" s="55" t="inlineStr">
        <is>
          <t>Done</t>
        </is>
      </c>
    </row>
    <row r="16">
      <c r="A16" s="54" t="inlineStr">
        <is>
          <t>First name / upper / lower</t>
        </is>
      </c>
      <c r="B16" s="54" t="inlineStr">
        <is>
          <t>Students Grade cols L:N</t>
        </is>
      </c>
      <c r="C16" s="54" t="inlineStr">
        <is>
          <t>LEFT, FIND, UPPER, LOWER</t>
        </is>
      </c>
      <c r="D16" s="55" t="inlineStr">
        <is>
          <t>Done</t>
        </is>
      </c>
    </row>
    <row r="17">
      <c r="A17" s="54" t="inlineStr">
        <is>
          <t>Salesperson performance &amp; employee salary</t>
        </is>
      </c>
      <c r="B17" s="54" t="inlineStr">
        <is>
          <t>Analysis B63, B89</t>
        </is>
      </c>
      <c r="C17" s="54" t="inlineStr">
        <is>
          <t>XLOOKUP</t>
        </is>
      </c>
      <c r="D17" s="55" t="inlineStr">
        <is>
          <t>Done</t>
        </is>
      </c>
    </row>
    <row r="18">
      <c r="A18" s="54" t="inlineStr">
        <is>
          <t>Position of a product in sales list</t>
        </is>
      </c>
      <c r="B18" s="54" t="inlineStr">
        <is>
          <t>Analysis B93</t>
        </is>
      </c>
      <c r="C18" s="54" t="inlineStr">
        <is>
          <t>XMATCH</t>
        </is>
      </c>
      <c r="D18" s="55" t="inlineStr">
        <is>
          <t>Done</t>
        </is>
      </c>
    </row>
    <row r="19">
      <c r="A19" s="54" t="inlineStr">
        <is>
          <t>Dynamic range reference</t>
        </is>
      </c>
      <c r="B19" s="54" t="inlineStr">
        <is>
          <t>Analysis B97</t>
        </is>
      </c>
      <c r="C19" s="54" t="inlineStr">
        <is>
          <t>INDIRECT</t>
        </is>
      </c>
      <c r="D19" s="55" t="inlineStr">
        <is>
          <t>Done</t>
        </is>
      </c>
    </row>
    <row r="20">
      <c r="A20" s="54" t="inlineStr">
        <is>
          <t>Dynamic ranges for sales trend</t>
        </is>
      </c>
      <c r="B20" s="54" t="inlineStr">
        <is>
          <t>Analysis C103:C110</t>
        </is>
      </c>
      <c r="C20" s="54" t="inlineStr">
        <is>
          <t>OFFSET</t>
        </is>
      </c>
      <c r="D20" s="55" t="inlineStr">
        <is>
          <t>Done</t>
        </is>
      </c>
    </row>
    <row r="21">
      <c r="A21" s="54" t="inlineStr">
        <is>
          <t>Age from date of birth</t>
        </is>
      </c>
      <c r="B21" s="54" t="inlineStr">
        <is>
          <t>Analysis section 14 (sample DOBs)</t>
        </is>
      </c>
      <c r="C21" s="54" t="inlineStr">
        <is>
          <t>DATEDIF</t>
        </is>
      </c>
      <c r="D21" s="55" t="inlineStr">
        <is>
          <t>Done</t>
        </is>
      </c>
    </row>
    <row r="22">
      <c r="A22" s="54" t="inlineStr">
        <is>
          <t>Difference in days between dates</t>
        </is>
      </c>
      <c r="B22" s="54" t="inlineStr">
        <is>
          <t>Analysis B121, B151</t>
        </is>
      </c>
      <c r="C22" s="54" t="inlineStr">
        <is>
          <t>Date subtraction</t>
        </is>
      </c>
      <c r="D22" s="55" t="inlineStr">
        <is>
          <t>Done</t>
        </is>
      </c>
    </row>
    <row r="23">
      <c r="A23" s="54" t="inlineStr">
        <is>
          <t>Joining date analysis</t>
        </is>
      </c>
      <c r="B23" s="54" t="inlineStr">
        <is>
          <t>Employee Data cols F:H; Analysis section 11</t>
        </is>
      </c>
      <c r="C23" s="54" t="inlineStr">
        <is>
          <t>YEAR, TEXT, DATEDIF</t>
        </is>
      </c>
      <c r="D23" s="55" t="inlineStr">
        <is>
          <t>Done</t>
        </is>
      </c>
    </row>
    <row r="24">
      <c r="A24" s="54" t="inlineStr">
        <is>
          <t>ROUND, CEILING, FLOOR</t>
        </is>
      </c>
      <c r="B24" s="54" t="inlineStr">
        <is>
          <t>Analysis section 12</t>
        </is>
      </c>
      <c r="C24" s="54" t="inlineStr">
        <is>
          <t>ROUND, CEILING, FLOOR</t>
        </is>
      </c>
      <c r="D24" s="55" t="inlineStr">
        <is>
          <t>Done</t>
        </is>
      </c>
    </row>
    <row r="25">
      <c r="A25" s="54" t="inlineStr">
        <is>
          <t>Top-performing students (grades above 80)</t>
        </is>
      </c>
      <c r="B25" s="54" t="inlineStr">
        <is>
          <t>Analysis A135:C142</t>
        </is>
      </c>
      <c r="C25" s="54" t="inlineStr">
        <is>
          <t>FILTER</t>
        </is>
      </c>
      <c r="D25" s="55" t="inlineStr">
        <is>
          <t>Done</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2026-10-04T09:46:16Z</dcterms:created>
  <dcterms:modified xmlns:dcterms="http://purl.org/dc/terms/" xmlns:xsi="http://www.w3.org/2001/XMLSchema-instance" xsi:type="dcterms:W3CDTF">2026-10-05T11:48:38Z</dcterms:modified>
</cp:coreProperties>
</file>